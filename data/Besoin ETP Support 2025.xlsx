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olaqinfr-my.sharepoint.com/personal/christophe_brichet_olaqin_fr/Documents/Python/depot_new/data/"/>
    </mc:Choice>
  </mc:AlternateContent>
  <xr:revisionPtr revIDLastSave="1497" documentId="11_2BB1D69C5B60527EF7F83A115949B07764D7E4DF" xr6:coauthVersionLast="47" xr6:coauthVersionMax="47" xr10:uidLastSave="{DA5CB303-623A-7642-A342-741F3AB7B545}"/>
  <bookViews>
    <workbookView xWindow="-38400" yWindow="2040" windowWidth="38400" windowHeight="21000" activeTab="2" xr2:uid="{00000000-000D-0000-FFFF-FFFF00000000}"/>
  </bookViews>
  <sheets>
    <sheet name="Sheet1" sheetId="1" r:id="rId1"/>
    <sheet name="Feuil3" sheetId="4" r:id="rId2"/>
    <sheet name="Analyse" sheetId="2" r:id="rId3"/>
    <sheet name="Feuil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 a="1"/>
  <c r="J7" i="2" a="1"/>
  <c r="S7" i="2"/>
  <c r="V7" i="2"/>
  <c r="S8" i="2"/>
  <c r="V8" i="2"/>
  <c r="S9" i="2"/>
  <c r="V9" i="2"/>
  <c r="S10" i="2"/>
  <c r="V10" i="2"/>
  <c r="S11" i="2"/>
  <c r="V11" i="2"/>
  <c r="S12" i="2"/>
  <c r="V12" i="2"/>
  <c r="S13" i="2"/>
  <c r="V13" i="2"/>
  <c r="S14" i="2"/>
  <c r="V14" i="2"/>
  <c r="S15" i="2"/>
  <c r="V15" i="2"/>
  <c r="S16" i="2"/>
  <c r="V16" i="2"/>
  <c r="S17" i="2"/>
  <c r="V17" i="2"/>
  <c r="S18" i="2"/>
  <c r="V18" i="2"/>
  <c r="S19" i="2"/>
  <c r="V19" i="2"/>
  <c r="V20" i="2"/>
  <c r="D39" i="2"/>
  <c r="C39" i="2"/>
  <c r="P30" i="2"/>
  <c r="B48" i="2"/>
  <c r="I28" i="2" a="1"/>
  <c r="I28" i="2" s="1"/>
  <c r="J28" i="2" s="1"/>
  <c r="O20" i="2" l="1"/>
  <c r="M20" i="2"/>
  <c r="M8" i="2"/>
  <c r="M19" i="2"/>
  <c r="O18" i="2"/>
  <c r="M18" i="2"/>
  <c r="O17" i="2"/>
  <c r="M17" i="2"/>
  <c r="O16" i="2"/>
  <c r="M12" i="2"/>
  <c r="O11" i="2"/>
  <c r="O10" i="2"/>
  <c r="O8" i="2"/>
  <c r="M16" i="2"/>
  <c r="O15" i="2"/>
  <c r="M15" i="2"/>
  <c r="O14" i="2"/>
  <c r="M14" i="2"/>
  <c r="O19" i="2"/>
  <c r="O13" i="2"/>
  <c r="M13" i="2"/>
  <c r="O12" i="2"/>
  <c r="M11" i="2"/>
  <c r="M10" i="2"/>
  <c r="O9" i="2"/>
  <c r="M9" i="2"/>
  <c r="K7" i="2"/>
  <c r="N19" i="2"/>
  <c r="L8" i="2"/>
  <c r="L19" i="2"/>
  <c r="N18" i="2"/>
  <c r="L18" i="2"/>
  <c r="N17" i="2"/>
  <c r="L17" i="2"/>
  <c r="N16" i="2"/>
  <c r="N8" i="2"/>
  <c r="J7" i="2"/>
  <c r="L16" i="2"/>
  <c r="N15" i="2"/>
  <c r="L15" i="2"/>
  <c r="N14" i="2"/>
  <c r="L14" i="2"/>
  <c r="N13" i="2"/>
  <c r="L13" i="2"/>
  <c r="N12" i="2"/>
  <c r="L12" i="2"/>
  <c r="L11" i="2"/>
  <c r="N10" i="2"/>
  <c r="L10" i="2"/>
  <c r="L9" i="2"/>
  <c r="N20" i="2"/>
  <c r="N11" i="2"/>
  <c r="N9" i="2"/>
  <c r="L20" i="2"/>
  <c r="R15" i="2"/>
  <c r="U8" i="2"/>
  <c r="U20" i="2"/>
  <c r="J4" i="2" a="1"/>
  <c r="P19" i="2"/>
  <c r="P8" i="2"/>
  <c r="P18" i="2"/>
  <c r="P11" i="2"/>
  <c r="P14" i="2"/>
  <c r="P12" i="2"/>
  <c r="P10" i="2"/>
  <c r="P13" i="2"/>
  <c r="P15" i="2"/>
  <c r="P17" i="2"/>
  <c r="P9" i="2"/>
  <c r="P20" i="2"/>
  <c r="P16" i="2"/>
  <c r="J29" i="2"/>
  <c r="J32" i="2"/>
  <c r="J30" i="2"/>
  <c r="J31" i="2"/>
  <c r="H25" i="2" a="1"/>
  <c r="H25" i="2" s="1"/>
  <c r="J33" i="2"/>
  <c r="M7" i="2" l="1"/>
  <c r="O7" i="2"/>
  <c r="L7" i="2"/>
  <c r="N7" i="2"/>
  <c r="R8" i="2"/>
  <c r="R7" i="2"/>
  <c r="J3" i="2" a="1"/>
  <c r="P7" i="2"/>
  <c r="R17" i="2"/>
  <c r="R9" i="2"/>
  <c r="R16" i="2"/>
  <c r="R12" i="2"/>
  <c r="R10" i="2"/>
  <c r="R14" i="2"/>
  <c r="R19" i="2"/>
  <c r="R11" i="2"/>
  <c r="R18" i="2"/>
  <c r="R13" i="2"/>
  <c r="U19" i="2"/>
  <c r="U17" i="2"/>
  <c r="U18" i="2"/>
  <c r="U14" i="2"/>
  <c r="U16" i="2"/>
  <c r="U15" i="2"/>
  <c r="U11" i="2"/>
  <c r="U10" i="2"/>
  <c r="U12" i="2"/>
  <c r="U7" i="2"/>
  <c r="U13" i="2"/>
  <c r="U9" i="2"/>
  <c r="J4" i="2"/>
  <c r="K21" i="2" s="1"/>
  <c r="I56" i="2"/>
  <c r="I46" i="2"/>
  <c r="I47" i="2"/>
  <c r="I45" i="2"/>
  <c r="I53" i="2"/>
  <c r="I48" i="2"/>
  <c r="I49" i="2"/>
  <c r="I50" i="2"/>
  <c r="I51" i="2"/>
  <c r="I54" i="2"/>
  <c r="I55" i="2"/>
  <c r="I57" i="2"/>
  <c r="I52" i="2"/>
  <c r="J3" i="2" l="1"/>
  <c r="J21" i="2"/>
  <c r="B37" i="2"/>
  <c r="P21" i="2" l="1"/>
  <c r="B36" i="2"/>
  <c r="G4" i="4"/>
  <c r="G5" i="4"/>
  <c r="G7" i="4"/>
  <c r="G8" i="4"/>
  <c r="G10" i="4"/>
  <c r="G11" i="4"/>
  <c r="G12" i="4"/>
  <c r="G13" i="4"/>
  <c r="G3" i="4"/>
  <c r="E38" i="4"/>
  <c r="E39" i="4"/>
  <c r="E40" i="4"/>
  <c r="E41" i="4"/>
  <c r="E42" i="4"/>
  <c r="E43" i="4"/>
  <c r="E44" i="4"/>
  <c r="E45" i="4"/>
  <c r="E37" i="4"/>
  <c r="C57" i="4" s="1"/>
  <c r="I4" i="4"/>
  <c r="I5" i="4"/>
  <c r="I6" i="4"/>
  <c r="I7" i="4"/>
  <c r="I8" i="4"/>
  <c r="I9" i="4"/>
  <c r="I10" i="4"/>
  <c r="I11" i="4"/>
  <c r="I12" i="4"/>
  <c r="I13" i="4"/>
  <c r="I3" i="4"/>
  <c r="E4" i="4"/>
  <c r="K4" i="4" s="1"/>
  <c r="E5" i="4"/>
  <c r="H5" i="4" s="1"/>
  <c r="E6" i="4"/>
  <c r="K6" i="4" s="1"/>
  <c r="E7" i="4"/>
  <c r="K7" i="4" s="1"/>
  <c r="E8" i="4"/>
  <c r="K8" i="4" s="1"/>
  <c r="E9" i="4"/>
  <c r="K9" i="4" s="1"/>
  <c r="E10" i="4"/>
  <c r="K10" i="4" s="1"/>
  <c r="E11" i="4"/>
  <c r="K11" i="4" s="1"/>
  <c r="E12" i="4"/>
  <c r="K12" i="4" s="1"/>
  <c r="E13" i="4"/>
  <c r="K13" i="4" s="1"/>
  <c r="E3" i="4"/>
  <c r="K3" i="4" s="1"/>
  <c r="H2" i="1" a="1"/>
  <c r="H2" i="1" s="1"/>
  <c r="B14" i="1"/>
  <c r="B50" i="1"/>
  <c r="C48" i="1"/>
  <c r="C50" i="1" s="1"/>
  <c r="J15" i="1"/>
  <c r="J16" i="1"/>
  <c r="J17" i="1"/>
  <c r="J18" i="1"/>
  <c r="J19" i="1"/>
  <c r="J20" i="1"/>
  <c r="J21" i="1"/>
  <c r="J22" i="1"/>
  <c r="J23" i="1"/>
  <c r="J24" i="1"/>
  <c r="J25" i="1"/>
  <c r="J14" i="1"/>
  <c r="B15" i="1"/>
  <c r="F14" i="1" s="1"/>
  <c r="E13" i="1"/>
  <c r="G9" i="4" l="1"/>
  <c r="G6" i="4"/>
  <c r="J44" i="2"/>
  <c r="J43" i="2"/>
  <c r="J37" i="2"/>
  <c r="J42" i="2"/>
  <c r="J41" i="2"/>
  <c r="J40" i="2"/>
  <c r="J39" i="2"/>
  <c r="J38" i="2"/>
  <c r="J36" i="2"/>
  <c r="J35" i="2"/>
  <c r="J34" i="2"/>
  <c r="E1" i="4" a="1"/>
  <c r="E1" i="4" s="1"/>
  <c r="H13" i="4"/>
  <c r="H12" i="4"/>
  <c r="H10" i="4"/>
  <c r="H4" i="4"/>
  <c r="H3" i="4"/>
  <c r="K5" i="4"/>
  <c r="H11" i="4"/>
  <c r="H9" i="4"/>
  <c r="H8" i="4"/>
  <c r="H7" i="4"/>
  <c r="H6" i="4"/>
  <c r="C46" i="4"/>
  <c r="C58" i="4"/>
  <c r="C47" i="4"/>
  <c r="C51" i="4"/>
  <c r="J31" i="4" s="1"/>
  <c r="C56" i="4"/>
  <c r="C55" i="4"/>
  <c r="C54" i="4"/>
  <c r="C53" i="4"/>
  <c r="C52" i="4"/>
  <c r="C50" i="4"/>
  <c r="C49" i="4"/>
  <c r="C48" i="4"/>
  <c r="E22" i="1"/>
  <c r="E21" i="1"/>
  <c r="E17" i="1"/>
  <c r="E23" i="1"/>
  <c r="E20" i="1"/>
  <c r="E24" i="1"/>
  <c r="E19" i="1"/>
  <c r="E18" i="1"/>
  <c r="E16" i="1"/>
  <c r="E15" i="1"/>
  <c r="E14" i="1"/>
  <c r="F13" i="1"/>
  <c r="F21" i="1"/>
  <c r="F23" i="1"/>
  <c r="F20" i="1"/>
  <c r="F19" i="1"/>
  <c r="F18" i="1"/>
  <c r="F24" i="1"/>
  <c r="F22" i="1"/>
  <c r="F17" i="1"/>
  <c r="F16" i="1"/>
  <c r="F15" i="1"/>
  <c r="M21" i="2" l="1"/>
  <c r="J45" i="2"/>
  <c r="E15" i="4"/>
  <c r="G15" i="4" s="1"/>
  <c r="E16" i="4"/>
  <c r="G16" i="4" s="1"/>
  <c r="E17" i="4"/>
  <c r="G17" i="4" s="1"/>
  <c r="E18" i="4"/>
  <c r="G18" i="4" s="1"/>
  <c r="E19" i="4"/>
  <c r="G19" i="4" s="1"/>
  <c r="E20" i="4"/>
  <c r="G20" i="4" s="1"/>
  <c r="E21" i="4"/>
  <c r="G21" i="4" s="1"/>
  <c r="E22" i="4"/>
  <c r="G22" i="4" s="1"/>
  <c r="E23" i="4"/>
  <c r="G23" i="4" s="1"/>
  <c r="E14" i="4"/>
  <c r="E24" i="4"/>
  <c r="G24" i="4" s="1"/>
  <c r="E25" i="4"/>
  <c r="I2" i="1"/>
  <c r="I3" i="1"/>
  <c r="I15" i="1"/>
  <c r="I4" i="1"/>
  <c r="I16" i="1"/>
  <c r="I11" i="1"/>
  <c r="I12" i="1"/>
  <c r="I13" i="1"/>
  <c r="I14" i="1"/>
  <c r="I5" i="1"/>
  <c r="I17" i="1"/>
  <c r="I21" i="1"/>
  <c r="I10" i="1"/>
  <c r="I22" i="1"/>
  <c r="I23" i="1"/>
  <c r="I24" i="1"/>
  <c r="I6" i="1"/>
  <c r="I18" i="1"/>
  <c r="I7" i="1"/>
  <c r="I19" i="1"/>
  <c r="I8" i="1"/>
  <c r="I20" i="1"/>
  <c r="I9" i="1"/>
  <c r="H14" i="4" l="1"/>
  <c r="G14" i="4"/>
  <c r="E29" i="4"/>
  <c r="F29" i="4" s="1"/>
  <c r="G25" i="4"/>
  <c r="J46" i="2"/>
  <c r="J47" i="2" l="1"/>
  <c r="J48" i="2" s="1"/>
  <c r="J49" i="2" s="1"/>
  <c r="J50" i="2" l="1"/>
  <c r="J51" i="2" l="1"/>
  <c r="J52" i="2" s="1"/>
  <c r="J53" i="2" l="1"/>
  <c r="J54" i="2" s="1"/>
  <c r="J55" i="2" s="1"/>
  <c r="J56" i="2" s="1"/>
  <c r="J57" i="2" l="1"/>
  <c r="O21" i="2" l="1"/>
  <c r="L21" i="2" l="1"/>
  <c r="N21" i="2"/>
  <c r="B38" i="2"/>
  <c r="B39" i="2"/>
  <c r="B40" i="2" s="1"/>
  <c r="B4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<sst xmlns="http://schemas.openxmlformats.org/spreadsheetml/2006/main" count="224" uniqueCount="98">
  <si>
    <t>Mois</t>
  </si>
  <si>
    <t>Stellair</t>
  </si>
  <si>
    <t>Affid</t>
  </si>
  <si>
    <t>Licences Affid</t>
  </si>
  <si>
    <t>Charge_support_call_stellair</t>
  </si>
  <si>
    <t>Charge_support_call_affid</t>
  </si>
  <si>
    <t>ration_appels_stellair_licences</t>
  </si>
  <si>
    <t>ration_appels_affid_licences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</si>
  <si>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</si>
  <si>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</si>
  <si>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</si>
  <si>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</si>
  <si>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</si>
  <si>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</si>
  <si>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</si>
  <si>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</si>
  <si>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</si>
  <si>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</si>
  <si>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</si>
  <si>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</si>
  <si>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</si>
  <si>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</si>
  <si>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</si>
  <si>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</si>
  <si>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</si>
  <si>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</si>
  <si>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</si>
  <si>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</si>
  <si>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</si>
  <si>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</si>
  <si>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</si>
  <si>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Coef Stellair</t>
  </si>
  <si>
    <t>Licences Stellair Affid</t>
  </si>
  <si>
    <t>Licence Stellair Olaqin</t>
  </si>
  <si>
    <t>Coef Affid</t>
  </si>
  <si>
    <t>Calcul avec la loi d'Erlang (objectif)</t>
  </si>
  <si>
    <t>Paramètre</t>
  </si>
  <si>
    <t>Stellair 2024</t>
  </si>
  <si>
    <t>Stellair 2025</t>
  </si>
  <si>
    <t>Nombre d'appels par heure</t>
  </si>
  <si>
    <t>Nombre d'heures ouvrées</t>
  </si>
  <si>
    <t>Nombre total d'appels par jour</t>
  </si>
  <si>
    <t>Capacité d'un agent (appels/jour)</t>
  </si>
  <si>
    <t>Temps moyen de traitement (min)</t>
  </si>
  <si>
    <t>Temps max d'attente (min)</t>
  </si>
  <si>
    <t xml:space="preserve">Tendance </t>
  </si>
  <si>
    <t>Ration Licences / Stellair</t>
  </si>
  <si>
    <t>Tendance Appels</t>
  </si>
  <si>
    <t>Valeurs réelles</t>
  </si>
  <si>
    <t>Analyse de la tendance</t>
  </si>
  <si>
    <t>Total</t>
  </si>
  <si>
    <t>Ratio Licences / Affid</t>
  </si>
  <si>
    <t>Appels</t>
  </si>
  <si>
    <t>nb jours</t>
  </si>
  <si>
    <t>Stellair jour</t>
  </si>
  <si>
    <t>Licences</t>
  </si>
  <si>
    <t>Licences Stellair (Affid)</t>
  </si>
  <si>
    <t>Affid 2025</t>
  </si>
  <si>
    <t>Xmed 2025</t>
  </si>
  <si>
    <t>Données d'entrée</t>
  </si>
  <si>
    <t>Coefficients</t>
  </si>
  <si>
    <t xml:space="preserve">Objectif conquete - Stellair </t>
  </si>
  <si>
    <t>Representation graphique de la tendance</t>
  </si>
  <si>
    <t>Total (ajout licences Olaqin)</t>
  </si>
  <si>
    <t>xx</t>
  </si>
  <si>
    <t xml:space="preserve">Appels / jour </t>
  </si>
  <si>
    <t>Tendance Tickets</t>
  </si>
  <si>
    <t>Coefficients Appels</t>
  </si>
  <si>
    <t>Coefficients Tickets</t>
  </si>
  <si>
    <t>Ratio Licences / Appels</t>
  </si>
  <si>
    <t>Ratio Licences / Tickets</t>
  </si>
  <si>
    <t>Tickets / jour</t>
  </si>
  <si>
    <t>DMT Appels (min)</t>
  </si>
  <si>
    <t>DMT Tickets (min)</t>
  </si>
  <si>
    <t>% Activité Tickets</t>
  </si>
  <si>
    <t>% Activité Appels</t>
  </si>
  <si>
    <t>DMT Moyen</t>
  </si>
  <si>
    <t>Nombre de demandes / heure</t>
  </si>
  <si>
    <t>Capacité d'un agent (demandes/jour)</t>
  </si>
  <si>
    <t>Besoin - ETP (Stellair B2C)</t>
  </si>
  <si>
    <t>Besoin - ETP (Total B2C)</t>
  </si>
  <si>
    <t>Besoin - ETP (Stellair B2B)</t>
  </si>
  <si>
    <t>Hypothèse &gt;</t>
  </si>
  <si>
    <t>Besoin ETP Total</t>
  </si>
  <si>
    <t>Tickets (SSIA)</t>
  </si>
  <si>
    <t>Inconnu</t>
  </si>
  <si>
    <t>Stellair_all</t>
  </si>
  <si>
    <t>Affid_all</t>
  </si>
  <si>
    <t>2023-07</t>
  </si>
  <si>
    <t>2023-08</t>
  </si>
  <si>
    <t>2023-09</t>
  </si>
  <si>
    <t>2023-10</t>
  </si>
  <si>
    <t>2023-11</t>
  </si>
  <si>
    <t>2023-12</t>
  </si>
  <si>
    <t>Besoin - ETP (N2)</t>
  </si>
  <si>
    <t>Nombre total de demandes par jour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</si>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</sst>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4" fillId="0" borderId="1" xfId="0" applyFont="1" applyBorder="1" applyAlignment="1">
      <alignment horizontal="center" vertical="top"/>
    </xf>
    <xf numFmtId="3" fontId="5" fillId="0" borderId="1" xfId="0" applyNumberFormat="1" applyFont="1" applyBorder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 applyAlignment="1">
      <alignment horizontal="center" wrapText="1"/>
    </xf>
    <xf numFmtId="2" fontId="0" fillId="0" borderId="1" xfId="0" applyNumberFormat="1" applyBorder="1"/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0" fillId="0" borderId="3" xfId="0" applyBorder="1"/>
    <xf numFmtId="0" fontId="1" fillId="0" borderId="7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10" fontId="0" fillId="0" borderId="1" xfId="0" applyNumberFormat="1" applyBorder="1"/>
    <xf numFmtId="0" fontId="0" fillId="6" borderId="1" xfId="0" applyFill="1" applyBorder="1"/>
    <xf numFmtId="0" fontId="2" fillId="0" borderId="3" xfId="0" applyFont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2" fontId="0" fillId="7" borderId="8" xfId="0" applyNumberFormat="1" applyFill="1" applyBorder="1" applyAlignment="1">
      <alignment horizontal="center" vertical="center"/>
    </xf>
    <xf numFmtId="2" fontId="0" fillId="7" borderId="5" xfId="0" applyNumberFormat="1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Sheet1!$G$1</c:f>
              <c:strCache>
                <c:ptCount val="1"/>
                <c:pt idx="0">
                  <c:v>Licences Stellair Affid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Sheet1!$D$2:$D$35</c:f>
              <c:strCache>
                <c:ptCount val="23"/>
                <c:pt idx="0">
                  <c:v>2024-02</c:v>
                </c:pt>
                <c:pt idx="1">
                  <c:v>2024-03</c:v>
                </c:pt>
                <c:pt idx="2">
                  <c:v>2024-04</c:v>
                </c:pt>
                <c:pt idx="3">
                  <c:v>2024-05</c:v>
                </c:pt>
                <c:pt idx="4">
                  <c:v>2024-06</c:v>
                </c:pt>
                <c:pt idx="5">
                  <c:v>2024-07</c:v>
                </c:pt>
                <c:pt idx="6">
                  <c:v>2024-08</c:v>
                </c:pt>
                <c:pt idx="7">
                  <c:v>2024-09</c:v>
                </c:pt>
                <c:pt idx="8">
                  <c:v>2024-10</c:v>
                </c:pt>
                <c:pt idx="9">
                  <c:v>2024-11</c:v>
                </c:pt>
                <c:pt idx="10">
                  <c:v>2024-12</c:v>
                </c:pt>
                <c:pt idx="11">
                  <c:v>2025-01</c:v>
                </c:pt>
                <c:pt idx="12">
                  <c:v>2025-02</c:v>
                </c:pt>
                <c:pt idx="13">
                  <c:v>2025-03</c:v>
                </c:pt>
                <c:pt idx="14">
                  <c:v>2025-04</c:v>
                </c:pt>
                <c:pt idx="15">
                  <c:v>2025-05</c:v>
                </c:pt>
                <c:pt idx="16">
                  <c:v>2025-06</c:v>
                </c:pt>
                <c:pt idx="17">
                  <c:v>2025-07</c:v>
                </c:pt>
                <c:pt idx="18">
                  <c:v>2025-08</c:v>
                </c:pt>
                <c:pt idx="19">
                  <c:v>2025-09</c:v>
                </c:pt>
                <c:pt idx="20">
                  <c:v>2025-10</c:v>
                </c:pt>
                <c:pt idx="21">
                  <c:v>2025-11</c:v>
                </c:pt>
                <c:pt idx="22">
                  <c:v>2025-12</c:v>
                </c:pt>
              </c:strCache>
            </c:strRef>
          </c:cat>
          <c:val>
            <c:numRef>
              <c:f>Sheet1!$G$2:$G$35</c:f>
              <c:numCache>
                <c:formatCode>General</c:formatCode>
                <c:ptCount val="34"/>
                <c:pt idx="0">
                  <c:v>1462</c:v>
                </c:pt>
                <c:pt idx="1">
                  <c:v>1559</c:v>
                </c:pt>
                <c:pt idx="2">
                  <c:v>1683</c:v>
                </c:pt>
                <c:pt idx="3">
                  <c:v>1833</c:v>
                </c:pt>
                <c:pt idx="4">
                  <c:v>1987</c:v>
                </c:pt>
                <c:pt idx="5">
                  <c:v>2052</c:v>
                </c:pt>
                <c:pt idx="6">
                  <c:v>2118</c:v>
                </c:pt>
                <c:pt idx="7">
                  <c:v>2195</c:v>
                </c:pt>
                <c:pt idx="8">
                  <c:v>2324</c:v>
                </c:pt>
                <c:pt idx="9">
                  <c:v>2562</c:v>
                </c:pt>
                <c:pt idx="10">
                  <c:v>2828</c:v>
                </c:pt>
                <c:pt idx="11">
                  <c:v>2961</c:v>
                </c:pt>
                <c:pt idx="12">
                  <c:v>3094</c:v>
                </c:pt>
                <c:pt idx="13">
                  <c:v>3227</c:v>
                </c:pt>
                <c:pt idx="14">
                  <c:v>3360</c:v>
                </c:pt>
                <c:pt idx="15">
                  <c:v>3493</c:v>
                </c:pt>
                <c:pt idx="16">
                  <c:v>3626</c:v>
                </c:pt>
                <c:pt idx="17">
                  <c:v>3759</c:v>
                </c:pt>
                <c:pt idx="18">
                  <c:v>3892</c:v>
                </c:pt>
                <c:pt idx="19">
                  <c:v>4025</c:v>
                </c:pt>
                <c:pt idx="20">
                  <c:v>4158</c:v>
                </c:pt>
                <c:pt idx="21">
                  <c:v>4291</c:v>
                </c:pt>
                <c:pt idx="22">
                  <c:v>4424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95-4C4D-AF06-BE3C07AF2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457135"/>
        <c:axId val="767455215"/>
      </c:lineChart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Stellair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Sheet1!$D$2:$D$35</c:f>
              <c:strCache>
                <c:ptCount val="23"/>
                <c:pt idx="0">
                  <c:v>2024-02</c:v>
                </c:pt>
                <c:pt idx="1">
                  <c:v>2024-03</c:v>
                </c:pt>
                <c:pt idx="2">
                  <c:v>2024-04</c:v>
                </c:pt>
                <c:pt idx="3">
                  <c:v>2024-05</c:v>
                </c:pt>
                <c:pt idx="4">
                  <c:v>2024-06</c:v>
                </c:pt>
                <c:pt idx="5">
                  <c:v>2024-07</c:v>
                </c:pt>
                <c:pt idx="6">
                  <c:v>2024-08</c:v>
                </c:pt>
                <c:pt idx="7">
                  <c:v>2024-09</c:v>
                </c:pt>
                <c:pt idx="8">
                  <c:v>2024-10</c:v>
                </c:pt>
                <c:pt idx="9">
                  <c:v>2024-11</c:v>
                </c:pt>
                <c:pt idx="10">
                  <c:v>2024-12</c:v>
                </c:pt>
                <c:pt idx="11">
                  <c:v>2025-01</c:v>
                </c:pt>
                <c:pt idx="12">
                  <c:v>2025-02</c:v>
                </c:pt>
                <c:pt idx="13">
                  <c:v>2025-03</c:v>
                </c:pt>
                <c:pt idx="14">
                  <c:v>2025-04</c:v>
                </c:pt>
                <c:pt idx="15">
                  <c:v>2025-05</c:v>
                </c:pt>
                <c:pt idx="16">
                  <c:v>2025-06</c:v>
                </c:pt>
                <c:pt idx="17">
                  <c:v>2025-07</c:v>
                </c:pt>
                <c:pt idx="18">
                  <c:v>2025-08</c:v>
                </c:pt>
                <c:pt idx="19">
                  <c:v>2025-09</c:v>
                </c:pt>
                <c:pt idx="20">
                  <c:v>2025-10</c:v>
                </c:pt>
                <c:pt idx="21">
                  <c:v>2025-11</c:v>
                </c:pt>
                <c:pt idx="22">
                  <c:v>2025-12</c:v>
                </c:pt>
              </c:strCache>
            </c:strRef>
          </c:cat>
          <c:val>
            <c:numRef>
              <c:f>Sheet1!$E$2:$E$35</c:f>
              <c:numCache>
                <c:formatCode>General</c:formatCode>
                <c:ptCount val="34"/>
                <c:pt idx="0">
                  <c:v>36.25</c:v>
                </c:pt>
                <c:pt idx="1">
                  <c:v>25.5</c:v>
                </c:pt>
                <c:pt idx="2">
                  <c:v>24.095238095238091</c:v>
                </c:pt>
                <c:pt idx="3">
                  <c:v>26.15789473684211</c:v>
                </c:pt>
                <c:pt idx="4">
                  <c:v>26.6</c:v>
                </c:pt>
                <c:pt idx="5">
                  <c:v>26.869565217391301</c:v>
                </c:pt>
                <c:pt idx="6">
                  <c:v>20.75</c:v>
                </c:pt>
                <c:pt idx="7">
                  <c:v>24.38095238095238</c:v>
                </c:pt>
                <c:pt idx="8">
                  <c:v>31.217391304347821</c:v>
                </c:pt>
                <c:pt idx="9">
                  <c:v>36.10526315789474</c:v>
                </c:pt>
                <c:pt idx="10">
                  <c:v>34.761904761904759</c:v>
                </c:pt>
                <c:pt idx="11">
                  <c:v>40.962252302224712</c:v>
                </c:pt>
                <c:pt idx="12">
                  <c:v>42.802164344168617</c:v>
                </c:pt>
                <c:pt idx="13">
                  <c:v>44.642076386112514</c:v>
                </c:pt>
                <c:pt idx="14">
                  <c:v>46.481988428056411</c:v>
                </c:pt>
                <c:pt idx="15">
                  <c:v>48.321900470000315</c:v>
                </c:pt>
                <c:pt idx="16">
                  <c:v>50.161812511944213</c:v>
                </c:pt>
                <c:pt idx="17">
                  <c:v>52.00172455388811</c:v>
                </c:pt>
                <c:pt idx="18">
                  <c:v>53.841636595832014</c:v>
                </c:pt>
                <c:pt idx="19">
                  <c:v>55.681548637775911</c:v>
                </c:pt>
                <c:pt idx="20">
                  <c:v>57.521460679719809</c:v>
                </c:pt>
                <c:pt idx="21">
                  <c:v>59.361372721663713</c:v>
                </c:pt>
                <c:pt idx="22">
                  <c:v>61.20128476360761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95-4C4D-AF06-BE3C07AF2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5833456"/>
        <c:axId val="705833936"/>
      </c:lineChart>
      <c:catAx>
        <c:axId val="76745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7455215"/>
        <c:crosses val="autoZero"/>
        <c:auto val="1"/>
        <c:lblAlgn val="ctr"/>
        <c:lblOffset val="100"/>
        <c:noMultiLvlLbl val="0"/>
      </c:catAx>
      <c:valAx>
        <c:axId val="76745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7457135"/>
        <c:crosses val="autoZero"/>
        <c:crossBetween val="between"/>
      </c:valAx>
      <c:valAx>
        <c:axId val="705833936"/>
        <c:scaling>
          <c:orientation val="minMax"/>
          <c:max val="1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5833456"/>
        <c:crosses val="max"/>
        <c:crossBetween val="between"/>
      </c:valAx>
      <c:catAx>
        <c:axId val="705833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5833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Sheet1!$G$1</c:f>
              <c:strCache>
                <c:ptCount val="1"/>
                <c:pt idx="0">
                  <c:v>Licences Stellair Affid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Sheet1!$D$2:$D$12</c:f>
              <c:strCache>
                <c:ptCount val="11"/>
                <c:pt idx="0">
                  <c:v>2024-02</c:v>
                </c:pt>
                <c:pt idx="1">
                  <c:v>2024-03</c:v>
                </c:pt>
                <c:pt idx="2">
                  <c:v>2024-04</c:v>
                </c:pt>
                <c:pt idx="3">
                  <c:v>2024-05</c:v>
                </c:pt>
                <c:pt idx="4">
                  <c:v>2024-06</c:v>
                </c:pt>
                <c:pt idx="5">
                  <c:v>2024-07</c:v>
                </c:pt>
                <c:pt idx="6">
                  <c:v>2024-08</c:v>
                </c:pt>
                <c:pt idx="7">
                  <c:v>2024-09</c:v>
                </c:pt>
                <c:pt idx="8">
                  <c:v>2024-10</c:v>
                </c:pt>
                <c:pt idx="9">
                  <c:v>2024-11</c:v>
                </c:pt>
                <c:pt idx="10">
                  <c:v>2024-12</c:v>
                </c:pt>
              </c:strCache>
            </c:strRef>
          </c:cat>
          <c:val>
            <c:numRef>
              <c:f>Sheet1!$G$2:$G$12</c:f>
              <c:numCache>
                <c:formatCode>General</c:formatCode>
                <c:ptCount val="11"/>
                <c:pt idx="0">
                  <c:v>1462</c:v>
                </c:pt>
                <c:pt idx="1">
                  <c:v>1559</c:v>
                </c:pt>
                <c:pt idx="2">
                  <c:v>1683</c:v>
                </c:pt>
                <c:pt idx="3">
                  <c:v>1833</c:v>
                </c:pt>
                <c:pt idx="4">
                  <c:v>1987</c:v>
                </c:pt>
                <c:pt idx="5">
                  <c:v>2052</c:v>
                </c:pt>
                <c:pt idx="6">
                  <c:v>2118</c:v>
                </c:pt>
                <c:pt idx="7">
                  <c:v>2195</c:v>
                </c:pt>
                <c:pt idx="8">
                  <c:v>2324</c:v>
                </c:pt>
                <c:pt idx="9">
                  <c:v>2562</c:v>
                </c:pt>
                <c:pt idx="10">
                  <c:v>2828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AE-49D4-AE9C-C3FE6CE37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2600912"/>
        <c:axId val="852601392"/>
      </c:lineChart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Stellair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Sheet1!$D$2:$D$12</c:f>
              <c:strCache>
                <c:ptCount val="11"/>
                <c:pt idx="0">
                  <c:v>2024-02</c:v>
                </c:pt>
                <c:pt idx="1">
                  <c:v>2024-03</c:v>
                </c:pt>
                <c:pt idx="2">
                  <c:v>2024-04</c:v>
                </c:pt>
                <c:pt idx="3">
                  <c:v>2024-05</c:v>
                </c:pt>
                <c:pt idx="4">
                  <c:v>2024-06</c:v>
                </c:pt>
                <c:pt idx="5">
                  <c:v>2024-07</c:v>
                </c:pt>
                <c:pt idx="6">
                  <c:v>2024-08</c:v>
                </c:pt>
                <c:pt idx="7">
                  <c:v>2024-09</c:v>
                </c:pt>
                <c:pt idx="8">
                  <c:v>2024-10</c:v>
                </c:pt>
                <c:pt idx="9">
                  <c:v>2024-11</c:v>
                </c:pt>
                <c:pt idx="10">
                  <c:v>2024-12</c:v>
                </c:pt>
              </c:strCache>
            </c:strRef>
          </c:cat>
          <c:val>
            <c:numRef>
              <c:f>Sheet1!$E$2:$E$12</c:f>
              <c:numCache>
                <c:formatCode>General</c:formatCode>
                <c:ptCount val="11"/>
                <c:pt idx="0">
                  <c:v>36.25</c:v>
                </c:pt>
                <c:pt idx="1">
                  <c:v>25.5</c:v>
                </c:pt>
                <c:pt idx="2">
                  <c:v>24.095238095238091</c:v>
                </c:pt>
                <c:pt idx="3">
                  <c:v>26.15789473684211</c:v>
                </c:pt>
                <c:pt idx="4">
                  <c:v>26.6</c:v>
                </c:pt>
                <c:pt idx="5">
                  <c:v>26.869565217391301</c:v>
                </c:pt>
                <c:pt idx="6">
                  <c:v>20.75</c:v>
                </c:pt>
                <c:pt idx="7">
                  <c:v>24.38095238095238</c:v>
                </c:pt>
                <c:pt idx="8">
                  <c:v>31.217391304347821</c:v>
                </c:pt>
                <c:pt idx="9">
                  <c:v>36.10526315789474</c:v>
                </c:pt>
                <c:pt idx="10">
                  <c:v>34.761904761904759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E-49D4-AE9C-C3FE6CE37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674223"/>
        <c:axId val="1148677583"/>
      </c:lineChart>
      <c:catAx>
        <c:axId val="8526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2601392"/>
        <c:crosses val="autoZero"/>
        <c:auto val="1"/>
        <c:lblAlgn val="ctr"/>
        <c:lblOffset val="100"/>
        <c:noMultiLvlLbl val="0"/>
      </c:catAx>
      <c:valAx>
        <c:axId val="85260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2600912"/>
        <c:crosses val="autoZero"/>
        <c:crossBetween val="between"/>
      </c:valAx>
      <c:valAx>
        <c:axId val="1148677583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8674223"/>
        <c:crosses val="max"/>
        <c:crossBetween val="between"/>
      </c:valAx>
      <c:catAx>
        <c:axId val="1148674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8677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Feuil3!$H$3:$H$13</c:f>
              <c:numCache>
                <c:formatCode>General</c:formatCode>
                <c:ptCount val="11"/>
                <c:pt idx="0">
                  <c:v>4.2171756083810958</c:v>
                </c:pt>
                <c:pt idx="1">
                  <c:v>2.9834246010716599</c:v>
                </c:pt>
                <c:pt idx="2">
                  <c:v>2.9469226425748163</c:v>
                </c:pt>
                <c:pt idx="3">
                  <c:v>2.674532181541907</c:v>
                </c:pt>
                <c:pt idx="4">
                  <c:v>3.0111854132589246</c:v>
                </c:pt>
                <c:pt idx="5">
                  <c:v>2.6380055083529172</c:v>
                </c:pt>
                <c:pt idx="6">
                  <c:v>3.5415136790254942</c:v>
                </c:pt>
                <c:pt idx="7">
                  <c:v>3.3664151194418164</c:v>
                </c:pt>
                <c:pt idx="8">
                  <c:v>2.9223398328690804</c:v>
                </c:pt>
                <c:pt idx="9">
                  <c:v>4.0798141038593663</c:v>
                </c:pt>
                <c:pt idx="10">
                  <c:v>2.8331669449519628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16-4344-A18E-4A7FF6CC5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4253408"/>
        <c:axId val="1034253888"/>
      </c:lineChart>
      <c:catAx>
        <c:axId val="103425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4253888"/>
        <c:crosses val="autoZero"/>
        <c:auto val="1"/>
        <c:lblAlgn val="ctr"/>
        <c:lblOffset val="100"/>
        <c:noMultiLvlLbl val="0"/>
      </c:catAx>
      <c:valAx>
        <c:axId val="10342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425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Feuil3!$E$2</c:f>
              <c:strCache>
                <c:ptCount val="1"/>
                <c:pt idx="0">
                  <c:v>Stellair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Feuil3!$E$3:$E$25</c:f>
              <c:numCache>
                <c:formatCode>General</c:formatCode>
                <c:ptCount val="23"/>
                <c:pt idx="0">
                  <c:v>346.67752442996743</c:v>
                </c:pt>
                <c:pt idx="1">
                  <c:v>522.55384615384617</c:v>
                </c:pt>
                <c:pt idx="2">
                  <c:v>571.10423452768737</c:v>
                </c:pt>
                <c:pt idx="3">
                  <c:v>685.35350318471342</c:v>
                </c:pt>
                <c:pt idx="4">
                  <c:v>659.87301587301579</c:v>
                </c:pt>
                <c:pt idx="5">
                  <c:v>777.8603924452002</c:v>
                </c:pt>
                <c:pt idx="6">
                  <c:v>598.04936305732485</c:v>
                </c:pt>
                <c:pt idx="7">
                  <c:v>652.02891566265066</c:v>
                </c:pt>
                <c:pt idx="8">
                  <c:v>795.25316455696213</c:v>
                </c:pt>
                <c:pt idx="9">
                  <c:v>627.9697885196374</c:v>
                </c:pt>
                <c:pt idx="10">
                  <c:v>998.17626527050618</c:v>
                </c:pt>
                <c:pt idx="11">
                  <c:v>948.03395018863739</c:v>
                </c:pt>
                <c:pt idx="12">
                  <c:v>990.64349747057315</c:v>
                </c:pt>
                <c:pt idx="13">
                  <c:v>1033.2530447525089</c:v>
                </c:pt>
                <c:pt idx="14">
                  <c:v>1075.8625920344446</c:v>
                </c:pt>
                <c:pt idx="15">
                  <c:v>1118.4721393163804</c:v>
                </c:pt>
                <c:pt idx="16">
                  <c:v>1161.0816865983161</c:v>
                </c:pt>
                <c:pt idx="17">
                  <c:v>1203.691233880252</c:v>
                </c:pt>
                <c:pt idx="18">
                  <c:v>1246.3007811621876</c:v>
                </c:pt>
                <c:pt idx="19">
                  <c:v>1288.9103284441235</c:v>
                </c:pt>
                <c:pt idx="20">
                  <c:v>1331.5198757260591</c:v>
                </c:pt>
                <c:pt idx="21">
                  <c:v>1374.129423007995</c:v>
                </c:pt>
                <c:pt idx="22">
                  <c:v>1416.7389702899306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4-4F0A-BD4C-1BA3D7C56E76}"/>
            </c:ext>
          </c:extLst>
        </c:ser>
        <c:ser>
          <c:idx val="1"/>
          <c:order val="1"/>
          <c:tx>
            <c:strRef>
              <c:f>Feuil3!$F$2</c:f>
              <c:strCache>
                <c:ptCount val="1"/>
                <c:pt idx="0">
                  <c:v>Licences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Feuil3!$F$3:$F$25</c:f>
              <c:numCache>
                <c:formatCode>General</c:formatCode>
                <c:ptCount val="23"/>
                <c:pt idx="0">
                  <c:v>1462</c:v>
                </c:pt>
                <c:pt idx="1">
                  <c:v>1559</c:v>
                </c:pt>
                <c:pt idx="2">
                  <c:v>1683</c:v>
                </c:pt>
                <c:pt idx="3">
                  <c:v>1833</c:v>
                </c:pt>
                <c:pt idx="4">
                  <c:v>1987</c:v>
                </c:pt>
                <c:pt idx="5">
                  <c:v>2052</c:v>
                </c:pt>
                <c:pt idx="6">
                  <c:v>2118</c:v>
                </c:pt>
                <c:pt idx="7">
                  <c:v>2195</c:v>
                </c:pt>
                <c:pt idx="8">
                  <c:v>2324</c:v>
                </c:pt>
                <c:pt idx="9">
                  <c:v>2562</c:v>
                </c:pt>
                <c:pt idx="10">
                  <c:v>2828</c:v>
                </c:pt>
                <c:pt idx="11">
                  <c:v>2961</c:v>
                </c:pt>
                <c:pt idx="12">
                  <c:v>3094</c:v>
                </c:pt>
                <c:pt idx="13">
                  <c:v>3227</c:v>
                </c:pt>
                <c:pt idx="14">
                  <c:v>3360</c:v>
                </c:pt>
                <c:pt idx="15">
                  <c:v>3493</c:v>
                </c:pt>
                <c:pt idx="16">
                  <c:v>3626</c:v>
                </c:pt>
                <c:pt idx="17">
                  <c:v>3759</c:v>
                </c:pt>
                <c:pt idx="18">
                  <c:v>3892</c:v>
                </c:pt>
                <c:pt idx="19">
                  <c:v>4025</c:v>
                </c:pt>
                <c:pt idx="20">
                  <c:v>4158</c:v>
                </c:pt>
                <c:pt idx="21">
                  <c:v>4291</c:v>
                </c:pt>
                <c:pt idx="22">
                  <c:v>4424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04-4F0A-BD4C-1BA3D7C56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2927088"/>
        <c:axId val="1572927568"/>
      </c:lineChart>
      <c:catAx>
        <c:axId val="1572927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2927568"/>
        <c:crosses val="autoZero"/>
        <c:auto val="1"/>
        <c:lblAlgn val="ctr"/>
        <c:lblOffset val="100"/>
        <c:noMultiLvlLbl val="0"/>
      </c:catAx>
      <c:valAx>
        <c:axId val="157292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292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Feuil3!$G$3:$G$25</c:f>
              <c:numCache>
                <c:formatCode>General</c:formatCode>
                <c:ptCount val="23"/>
                <c:pt idx="0">
                  <c:v>4.2171756083810958</c:v>
                </c:pt>
                <c:pt idx="1">
                  <c:v>2.9834246010716599</c:v>
                </c:pt>
                <c:pt idx="2">
                  <c:v>2.9469226425748163</c:v>
                </c:pt>
                <c:pt idx="3">
                  <c:v>2.674532181541907</c:v>
                </c:pt>
                <c:pt idx="4">
                  <c:v>3.0111854132589246</c:v>
                </c:pt>
                <c:pt idx="5">
                  <c:v>2.6380055083529172</c:v>
                </c:pt>
                <c:pt idx="6">
                  <c:v>3.5415136790254942</c:v>
                </c:pt>
                <c:pt idx="7">
                  <c:v>3.3664151194418164</c:v>
                </c:pt>
                <c:pt idx="8">
                  <c:v>2.9223398328690804</c:v>
                </c:pt>
                <c:pt idx="9">
                  <c:v>4.0798141038593663</c:v>
                </c:pt>
                <c:pt idx="10">
                  <c:v>2.8331669449519628</c:v>
                </c:pt>
                <c:pt idx="11">
                  <c:v>3.1233058683297448</c:v>
                </c:pt>
                <c:pt idx="12">
                  <c:v>3.123222438647165</c:v>
                </c:pt>
                <c:pt idx="13">
                  <c:v>3.1231458899527857</c:v>
                </c:pt>
                <c:pt idx="14">
                  <c:v>3.1230754046818157</c:v>
                </c:pt>
                <c:pt idx="15">
                  <c:v>3.1230102898539349</c:v>
                </c:pt>
                <c:pt idx="16">
                  <c:v>3.1229499542132033</c:v>
                </c:pt>
                <c:pt idx="17">
                  <c:v>3.1228938902233132</c:v>
                </c:pt>
                <c:pt idx="18">
                  <c:v>3.1228416597562205</c:v>
                </c:pt>
                <c:pt idx="19">
                  <c:v>3.1227928826194451</c:v>
                </c:pt>
                <c:pt idx="20">
                  <c:v>3.1227472272861876</c:v>
                </c:pt>
                <c:pt idx="21">
                  <c:v>3.1227044033501015</c:v>
                </c:pt>
                <c:pt idx="22">
                  <c:v>3.1226641553416461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6-47E7-BF3A-FF615D309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426208"/>
        <c:axId val="901426688"/>
      </c:lineChart>
      <c:catAx>
        <c:axId val="901426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1426688"/>
        <c:crosses val="autoZero"/>
        <c:auto val="1"/>
        <c:lblAlgn val="ctr"/>
        <c:lblOffset val="100"/>
        <c:noMultiLvlLbl val="0"/>
      </c:catAx>
      <c:valAx>
        <c:axId val="9014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142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%</a:t>
            </a:r>
            <a:r>
              <a:rPr lang="fr-FR" baseline="0"/>
              <a:t> Tendance Activité Tickets vs Appels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Analyse!$N$6</c:f>
              <c:strCache>
                <c:ptCount val="1"/>
                <c:pt idx="0">
                  <c:v>% Activité Appels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3492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Analyse!$N$7:$N$21</c:f>
              <c:numCache>
                <c:formatCode>0.00%</c:formatCode>
                <c:ptCount val="15"/>
                <c:pt idx="0">
                  <c:v>0.76432091858860673</c:v>
                </c:pt>
                <c:pt idx="1">
                  <c:v>0.76558300352981257</c:v>
                </c:pt>
                <c:pt idx="2">
                  <c:v>0.76683321979697006</c:v>
                </c:pt>
                <c:pt idx="3">
                  <c:v>0.76745740048122224</c:v>
                </c:pt>
                <c:pt idx="4">
                  <c:v>0.76802768049125503</c:v>
                </c:pt>
                <c:pt idx="5">
                  <c:v>0.7690053451862946</c:v>
                </c:pt>
                <c:pt idx="6">
                  <c:v>0.7697017537459323</c:v>
                </c:pt>
                <c:pt idx="7">
                  <c:v>0.77013312963824465</c:v>
                </c:pt>
                <c:pt idx="8">
                  <c:v>0.77088269214897931</c:v>
                </c:pt>
                <c:pt idx="9">
                  <c:v>0.7722282660981884</c:v>
                </c:pt>
                <c:pt idx="10">
                  <c:v>0.77400018245844182</c:v>
                </c:pt>
                <c:pt idx="11">
                  <c:v>0.77533709196040135</c:v>
                </c:pt>
                <c:pt idx="12">
                  <c:v>0.77671806418393674</c:v>
                </c:pt>
                <c:pt idx="13">
                  <c:v>0.7773142351141511</c:v>
                </c:pt>
                <c:pt idx="14">
                  <c:v>0.77559422578464532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3D-4AC8-8CE3-D1F0F013F09B}"/>
            </c:ext>
          </c:extLst>
        </c:ser>
        <c:ser>
          <c:idx val="1"/>
          <c:order val="1"/>
          <c:tx>
            <c:strRef>
              <c:f>Analyse!$O$6</c:f>
              <c:strCache>
                <c:ptCount val="1"/>
                <c:pt idx="0">
                  <c:v>% Activité Tickets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34925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Analyse!$O$7:$O$21</c:f>
              <c:numCache>
                <c:formatCode>0.00%</c:formatCode>
                <c:ptCount val="15"/>
                <c:pt idx="0">
                  <c:v>0.23567908141139324</c:v>
                </c:pt>
                <c:pt idx="1">
                  <c:v>0.23441699647018749</c:v>
                </c:pt>
                <c:pt idx="2">
                  <c:v>0.23316678020303006</c:v>
                </c:pt>
                <c:pt idx="3">
                  <c:v>0.23254259951877779</c:v>
                </c:pt>
                <c:pt idx="4">
                  <c:v>0.23197231950874506</c:v>
                </c:pt>
                <c:pt idx="5">
                  <c:v>0.23099465481370546</c:v>
                </c:pt>
                <c:pt idx="6">
                  <c:v>0.23029824625406761</c:v>
                </c:pt>
                <c:pt idx="7">
                  <c:v>0.22986687036175538</c:v>
                </c:pt>
                <c:pt idx="8">
                  <c:v>0.22911730785102072</c:v>
                </c:pt>
                <c:pt idx="9">
                  <c:v>0.22777173390181149</c:v>
                </c:pt>
                <c:pt idx="10">
                  <c:v>0.22599981754155821</c:v>
                </c:pt>
                <c:pt idx="11">
                  <c:v>0.22466290803959868</c:v>
                </c:pt>
                <c:pt idx="12">
                  <c:v>0.22328193581606329</c:v>
                </c:pt>
                <c:pt idx="13">
                  <c:v>0.22268576488584887</c:v>
                </c:pt>
                <c:pt idx="14">
                  <c:v>0.22440577421535474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3D-4AC8-8CE3-D1F0F013F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055344"/>
        <c:axId val="1102056784"/>
      </c:lineChart>
      <c:catAx>
        <c:axId val="1102055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2056784"/>
        <c:crosses val="autoZero"/>
        <c:auto val="1"/>
        <c:lblAlgn val="ctr"/>
        <c:lblOffset val="100"/>
        <c:noMultiLvlLbl val="0"/>
      </c:catAx>
      <c:valAx>
        <c:axId val="110205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205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% Augmentation</a:t>
            </a:r>
            <a:r>
              <a:rPr lang="fr-FR" baseline="0"/>
              <a:t> Licences vs Appels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Analyse!$R$6</c:f>
              <c:strCache>
                <c:ptCount val="1"/>
                <c:pt idx="0">
                  <c:v>Tendance Appels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36-440A-8E34-32EA47D04B65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C36-440A-8E34-32EA47D04B65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36-440A-8E34-32EA47D04B65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C36-440A-8E34-32EA47D04B65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C36-440A-8E34-32EA47D04B65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C36-440A-8E34-32EA47D04B65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C36-440A-8E34-32EA47D04B65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C36-440A-8E34-32EA47D04B65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C36-440A-8E34-32EA47D04B65}"/>
              </c:ext>
            </c:extLst>
          </c:dPt>
          <c:cat>
            <c:strLit>
              <c:ptCount val="4"/>
              <c:pt idx="0">
                <c:v>11</c:v>
              </c:pt>
              <c:pt idx="1">
                <c:v>12</c:v>
              </c:pt>
              <c:pt idx="2">
                <c:v>13</c:v>
              </c:pt>
              <c:pt idx="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Analyse!$R$7:$R$20</c15:sqref>
                  </c15:fullRef>
                </c:ext>
              </c:extLst>
              <c:f>Analyse!$R$17:$R$20</c:f>
              <c:numCache>
                <c:formatCode>General</c:formatCode>
                <c:ptCount val="4"/>
                <c:pt idx="0">
                  <c:v>-9.467526868476879E-2</c:v>
                </c:pt>
                <c:pt idx="1">
                  <c:v>-0.10512643470841217</c:v>
                </c:pt>
                <c:pt idx="2">
                  <c:v>-0.10955281090666101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3-644C-9AF3-FD7D8EA46C4F}"/>
            </c:ext>
          </c:extLst>
        </c:ser>
        <c:ser>
          <c:idx val="1"/>
          <c:order val="1"/>
          <c:tx>
            <c:strRef>
              <c:f>Analyse!$S$6</c:f>
              <c:strCache>
                <c:ptCount val="1"/>
                <c:pt idx="0">
                  <c:v>Licences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C36-440A-8E34-32EA47D04B65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0C36-440A-8E34-32EA47D04B65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0C36-440A-8E34-32EA47D04B65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0C36-440A-8E34-32EA47D04B65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0C36-440A-8E34-32EA47D04B65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0C36-440A-8E34-32EA47D04B65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0C36-440A-8E34-32EA47D04B65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0C36-440A-8E34-32EA47D04B65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0C36-440A-8E34-32EA47D04B65}"/>
              </c:ext>
            </c:extLst>
          </c:dPt>
          <c:cat>
            <c:strLit>
              <c:ptCount val="4"/>
              <c:pt idx="0">
                <c:v>11</c:v>
              </c:pt>
              <c:pt idx="1">
                <c:v>12</c:v>
              </c:pt>
              <c:pt idx="2">
                <c:v>13</c:v>
              </c:pt>
              <c:pt idx="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Analyse!$S$7:$S$20</c15:sqref>
                  </c15:fullRef>
                </c:ext>
              </c:extLst>
              <c:f>Analyse!$S$17:$S$20</c:f>
              <c:numCache>
                <c:formatCode>General</c:formatCode>
                <c:ptCount val="4"/>
                <c:pt idx="0">
                  <c:v>0.34778681120144533</c:v>
                </c:pt>
                <c:pt idx="1">
                  <c:v>0.38617886178861788</c:v>
                </c:pt>
                <c:pt idx="2">
                  <c:v>0.40243902439024393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3-644C-9AF3-FD7D8EA46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059936"/>
        <c:axId val="1964140192"/>
      </c:lineChart>
      <c:catAx>
        <c:axId val="1964059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4140192"/>
        <c:crosses val="autoZero"/>
        <c:auto val="1"/>
        <c:lblAlgn val="ctr"/>
        <c:lblOffset val="100"/>
        <c:noMultiLvlLbl val="0"/>
      </c:catAx>
      <c:valAx>
        <c:axId val="19641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405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% Augmentation</a:t>
            </a:r>
            <a:r>
              <a:rPr lang="fr-FR" baseline="0"/>
              <a:t> Licences vs Appels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Analyse!$U$6</c:f>
              <c:strCache>
                <c:ptCount val="1"/>
                <c:pt idx="0">
                  <c:v>Tendance Appels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76-4BC8-BF7A-5555B95E0E34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76-4BC8-BF7A-5555B95E0E34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176-4BC8-BF7A-5555B95E0E34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176-4BC8-BF7A-5555B95E0E34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176-4BC8-BF7A-5555B95E0E34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176-4BC8-BF7A-5555B95E0E34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176-4BC8-BF7A-5555B95E0E34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176-4BC8-BF7A-5555B95E0E34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176-4BC8-BF7A-5555B95E0E34}"/>
              </c:ext>
            </c:extLst>
          </c:dPt>
          <c:cat>
            <c:strLit>
              <c:ptCount val="4"/>
              <c:pt idx="0">
                <c:v>11</c:v>
              </c:pt>
              <c:pt idx="1">
                <c:v>12</c:v>
              </c:pt>
              <c:pt idx="2">
                <c:v>13</c:v>
              </c:pt>
              <c:pt idx="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Analyse!$U$7:$U$20</c15:sqref>
                  </c15:fullRef>
                </c:ext>
              </c:extLst>
              <c:f>Analyse!$U$17:$U$20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176-4BC8-BF7A-5555B95E0E34}"/>
            </c:ext>
          </c:extLst>
        </c:ser>
        <c:ser>
          <c:idx val="1"/>
          <c:order val="1"/>
          <c:tx>
            <c:strRef>
              <c:f>Analyse!$S$6</c:f>
              <c:strCache>
                <c:ptCount val="1"/>
                <c:pt idx="0">
                  <c:v>Licences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6176-4BC8-BF7A-5555B95E0E34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6176-4BC8-BF7A-5555B95E0E34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6176-4BC8-BF7A-5555B95E0E34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6176-4BC8-BF7A-5555B95E0E34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6176-4BC8-BF7A-5555B95E0E34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6176-4BC8-BF7A-5555B95E0E34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6176-4BC8-BF7A-5555B95E0E34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6176-4BC8-BF7A-5555B95E0E34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6176-4BC8-BF7A-5555B95E0E34}"/>
              </c:ext>
            </c:extLst>
          </c:dPt>
          <c:cat>
            <c:strLit>
              <c:ptCount val="4"/>
              <c:pt idx="0">
                <c:v>11</c:v>
              </c:pt>
              <c:pt idx="1">
                <c:v>12</c:v>
              </c:pt>
              <c:pt idx="2">
                <c:v>13</c:v>
              </c:pt>
              <c:pt idx="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Analyse!$S$7:$S$20</c15:sqref>
                  </c15:fullRef>
                </c:ext>
              </c:extLst>
              <c:f>Analyse!$S$17:$S$20</c:f>
              <c:numCache>
                <c:formatCode>General</c:formatCode>
                <c:ptCount val="4"/>
                <c:pt idx="0">
                  <c:v>0.34778681120144533</c:v>
                </c:pt>
                <c:pt idx="1">
                  <c:v>0.38617886178861788</c:v>
                </c:pt>
                <c:pt idx="2">
                  <c:v>0.40243902439024393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6176-4BC8-BF7A-5555B95E0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059936"/>
        <c:axId val="1964140192"/>
      </c:lineChart>
      <c:catAx>
        <c:axId val="1964059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4140192"/>
        <c:crosses val="autoZero"/>
        <c:auto val="1"/>
        <c:lblAlgn val="ctr"/>
        <c:lblOffset val="100"/>
        <c:noMultiLvlLbl val="0"/>
      </c:catAx>
      <c:valAx>
        <c:axId val="19641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405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83820</xdr:colOff>
      <xdr:row>25</xdr:row>
      <xdr:rowOff>11430</xdr:rowOff>
    </xdr:from>
    <xdr:to>
      <xdr:col>14</xdr:col>
      <xdr:colOff>270510</xdr:colOff>
      <xdr:row>39</xdr:row>
      <xdr:rowOff>87630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1684752-44F6-E783-63CE-9C466F1EF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171786</xdr:colOff>
      <xdr:row>21</xdr:row>
      <xdr:rowOff>32776</xdr:rowOff>
    </xdr:from>
    <xdr:to>
      <xdr:col>15</xdr:col>
      <xdr:colOff>1015925</xdr:colOff>
      <xdr:row>35</xdr:row>
      <xdr:rowOff>108976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092D6C3-BEAE-3D16-CFAF-461D8467F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17</xdr:row>
      <xdr:rowOff>176212</xdr:rowOff>
    </xdr:from>
    <xdr:to>
      <xdr:col>16</xdr:col>
      <xdr:colOff>47625</xdr:colOff>
      <xdr:row>32</xdr:row>
      <xdr:rowOff>61912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3B1715B-9CBA-49C7-6DE0-D7E9B3468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561975</xdr:colOff>
      <xdr:row>10</xdr:row>
      <xdr:rowOff>14287</xdr:rowOff>
    </xdr:from>
    <xdr:to>
      <xdr:col>15</xdr:col>
      <xdr:colOff>561975</xdr:colOff>
      <xdr:row>24</xdr:row>
      <xdr:rowOff>90487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4678B7B-7CF5-3320-D5CE-E353238C0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4</xdr:row>
      <xdr:rowOff>128587</xdr:rowOff>
    </xdr:from>
    <xdr:to>
      <xdr:col>17</xdr:col>
      <xdr:colOff>0</xdr:colOff>
      <xdr:row>19</xdr:row>
      <xdr:rowOff>14287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7C8DDA9E-04EE-02A2-03D5-F23641E34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1113015</xdr:colOff>
      <xdr:row>36</xdr:row>
      <xdr:rowOff>51716</xdr:rowOff>
    </xdr:from>
    <xdr:to>
      <xdr:col>17</xdr:col>
      <xdr:colOff>317500</xdr:colOff>
      <xdr:row>48</xdr:row>
      <xdr:rowOff>177164</xdr:rowOff>
    </xdr:to>
    <xdr:graphicFrame macro="">
      <xdr:nvGraphicFramePr>
        <xdr:cNvPr id="68" name="Graphique 11">
          <a:extLst>
            <a:ext uri="{FF2B5EF4-FFF2-40B4-BE49-F238E27FC236}">
              <a16:creationId xmlns:a16="http://schemas.microsoft.com/office/drawing/2014/main" id="{33012831-E47C-F1AB-2BC5-DFB46D688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821619</xdr:colOff>
      <xdr:row>27</xdr:row>
      <xdr:rowOff>108655</xdr:rowOff>
    </xdr:from>
    <xdr:to>
      <xdr:col>23</xdr:col>
      <xdr:colOff>723194</xdr:colOff>
      <xdr:row>44</xdr:row>
      <xdr:rowOff>189794</xdr:rowOff>
    </xdr:to>
    <xdr:graphicFrame macro="">
      <xdr:nvGraphicFramePr>
        <xdr:cNvPr id="105" name="Graphique 3">
          <a:extLst>
            <a:ext uri="{FF2B5EF4-FFF2-40B4-BE49-F238E27FC236}">
              <a16:creationId xmlns:a16="http://schemas.microsoft.com/office/drawing/2014/main" id="{9967C34A-EB4F-864B-9B37-57BCD0743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1139755</xdr:colOff>
      <xdr:row>29</xdr:row>
      <xdr:rowOff>129963</xdr:rowOff>
    </xdr:from>
    <xdr:to>
      <xdr:col>12</xdr:col>
      <xdr:colOff>1268731</xdr:colOff>
      <xdr:row>44</xdr:row>
      <xdr:rowOff>12488</xdr:rowOff>
    </xdr:to>
    <xdr:graphicFrame macro="">
      <xdr:nvGraphicFramePr>
        <xdr:cNvPr id="2" name="Graphique 3">
          <a:extLst>
            <a:ext uri="{FF2B5EF4-FFF2-40B4-BE49-F238E27FC236}">
              <a16:creationId xmlns:a16="http://schemas.microsoft.com/office/drawing/2014/main" id="{849268DC-2D67-4DEF-8566-EB99DF047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"/>
  <sheetViews>
    <sheetView zoomScale="85" zoomScaleNormal="85" workbookViewId="0">
      <selection activeCell="G5" sqref="G5"/>
    </sheetView>
  </sheetViews>
  <sheetFormatPr baseColWidth="10" defaultColWidth="9.1640625" defaultRowHeight="15" x14ac:dyDescent="0.2"/>
  <cols>
    <col min="1" max="1" width="32" bestFit="1" customWidth="1"/>
    <col min="2" max="2" width="12.5" bestFit="1" customWidth="1"/>
    <col min="3" max="3" width="11.6640625" bestFit="1" customWidth="1"/>
    <col min="4" max="4" width="7.83203125" bestFit="1" customWidth="1"/>
    <col min="5" max="6" width="12.5" bestFit="1" customWidth="1"/>
    <col min="7" max="7" width="21.6640625" bestFit="1" customWidth="1"/>
    <col min="8" max="10" width="21.6640625" customWidth="1"/>
    <col min="11" max="11" width="13.33203125" bestFit="1" customWidth="1"/>
    <col min="12" max="12" width="26.5" bestFit="1" customWidth="1"/>
    <col min="13" max="13" width="24.5" bestFit="1" customWidth="1"/>
    <col min="14" max="14" width="28.83203125" bestFit="1" customWidth="1"/>
    <col min="15" max="15" width="26.83203125" bestFit="1" customWidth="1"/>
    <col min="16" max="16" width="28.83203125" bestFit="1" customWidth="1"/>
    <col min="17" max="17" width="26.83203125" bestFit="1" customWidth="1"/>
  </cols>
  <sheetData>
    <row r="1" spans="1:17" x14ac:dyDescent="0.2">
      <c r="D1" s="1" t="s">
        <v>0</v>
      </c>
      <c r="E1" s="1" t="s">
        <v>1</v>
      </c>
      <c r="F1" s="1" t="s">
        <v>2</v>
      </c>
      <c r="G1" s="3" t="s">
        <v>32</v>
      </c>
      <c r="H1" s="3" t="s">
        <v>45</v>
      </c>
      <c r="I1" s="3" t="s">
        <v>46</v>
      </c>
      <c r="J1" s="3" t="s">
        <v>33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/>
      <c r="Q1" s="1"/>
    </row>
    <row r="2" spans="1:17" x14ac:dyDescent="0.2">
      <c r="C2" s="1">
        <v>0</v>
      </c>
      <c r="D2" t="s">
        <v>8</v>
      </c>
      <c r="E2">
        <v>36.25</v>
      </c>
      <c r="F2">
        <v>40.5</v>
      </c>
      <c r="G2">
        <v>1462</v>
      </c>
      <c r="H2" cm="1">
        <f t="array" ref="H2:H24">TREND(E2:E24,G2:G24)</f>
        <v>21.441935947183779</v>
      </c>
      <c r="I2" s="2">
        <f t="shared" ref="I2:I24" si="0">G2/H2</f>
        <v>68.184141749197863</v>
      </c>
      <c r="J2">
        <v>1243</v>
      </c>
      <c r="K2">
        <v>1883</v>
      </c>
      <c r="L2">
        <v>0.47231270358306188</v>
      </c>
      <c r="M2">
        <v>0.52768729641693812</v>
      </c>
      <c r="N2">
        <v>40.331034482758618</v>
      </c>
      <c r="O2">
        <v>46.493827160493829</v>
      </c>
    </row>
    <row r="3" spans="1:17" x14ac:dyDescent="0.2">
      <c r="C3" s="1">
        <v>1</v>
      </c>
      <c r="D3" t="s">
        <v>9</v>
      </c>
      <c r="E3">
        <v>25.5</v>
      </c>
      <c r="F3">
        <v>39.5</v>
      </c>
      <c r="G3">
        <v>1559</v>
      </c>
      <c r="H3">
        <v>22.70227709569944</v>
      </c>
      <c r="I3" s="2">
        <f t="shared" si="0"/>
        <v>68.67152547861933</v>
      </c>
      <c r="J3">
        <v>1268</v>
      </c>
      <c r="K3">
        <v>1796</v>
      </c>
      <c r="L3">
        <v>0.3923076923076923</v>
      </c>
      <c r="M3">
        <v>0.60769230769230764</v>
      </c>
      <c r="N3">
        <v>61.137254901960787</v>
      </c>
      <c r="O3">
        <v>45.468354430379748</v>
      </c>
    </row>
    <row r="4" spans="1:17" x14ac:dyDescent="0.2">
      <c r="C4" s="1">
        <v>2</v>
      </c>
      <c r="D4" t="s">
        <v>10</v>
      </c>
      <c r="E4">
        <v>24.095238095238091</v>
      </c>
      <c r="F4">
        <v>34.38095238095238</v>
      </c>
      <c r="G4">
        <v>1683</v>
      </c>
      <c r="H4">
        <v>24.313434852564821</v>
      </c>
      <c r="I4" s="2">
        <f t="shared" si="0"/>
        <v>69.220988733414629</v>
      </c>
      <c r="J4">
        <v>1350</v>
      </c>
      <c r="K4">
        <v>1688</v>
      </c>
      <c r="L4">
        <v>0.41205211726384372</v>
      </c>
      <c r="M4">
        <v>0.58794788273615639</v>
      </c>
      <c r="N4">
        <v>69.847826086956516</v>
      </c>
      <c r="O4">
        <v>49.096952908587262</v>
      </c>
    </row>
    <row r="5" spans="1:17" x14ac:dyDescent="0.2">
      <c r="C5" s="1">
        <v>3</v>
      </c>
      <c r="D5" t="s">
        <v>11</v>
      </c>
      <c r="E5">
        <v>26.15789473684211</v>
      </c>
      <c r="F5">
        <v>23.421052631578949</v>
      </c>
      <c r="G5">
        <v>1833</v>
      </c>
      <c r="H5">
        <v>26.262416010063266</v>
      </c>
      <c r="I5" s="2">
        <f t="shared" si="0"/>
        <v>69.795558767237139</v>
      </c>
      <c r="J5">
        <v>1370</v>
      </c>
      <c r="K5">
        <v>1580</v>
      </c>
      <c r="L5">
        <v>0.52760084925690021</v>
      </c>
      <c r="M5">
        <v>0.47239915074309979</v>
      </c>
      <c r="N5">
        <v>70.074446680080484</v>
      </c>
      <c r="O5">
        <v>67.460674157303373</v>
      </c>
    </row>
    <row r="6" spans="1:17" x14ac:dyDescent="0.2">
      <c r="C6" s="1">
        <v>4</v>
      </c>
      <c r="D6" t="s">
        <v>12</v>
      </c>
      <c r="E6">
        <v>26.6</v>
      </c>
      <c r="F6">
        <v>17.5</v>
      </c>
      <c r="G6">
        <v>1987</v>
      </c>
      <c r="H6">
        <v>28.263369998428335</v>
      </c>
      <c r="I6" s="2">
        <f t="shared" si="0"/>
        <v>70.30301057908143</v>
      </c>
      <c r="J6">
        <v>1381</v>
      </c>
      <c r="K6">
        <v>1486</v>
      </c>
      <c r="L6">
        <v>0.60317460317460314</v>
      </c>
      <c r="M6">
        <v>0.3968253968253968</v>
      </c>
      <c r="N6">
        <v>74.699248120300751</v>
      </c>
      <c r="O6">
        <v>84.914285714285711</v>
      </c>
    </row>
    <row r="7" spans="1:17" x14ac:dyDescent="0.2">
      <c r="C7" s="1">
        <v>5</v>
      </c>
      <c r="D7" t="s">
        <v>13</v>
      </c>
      <c r="E7">
        <v>26.869565217391301</v>
      </c>
      <c r="F7">
        <v>16.13636363636364</v>
      </c>
      <c r="G7">
        <v>2052</v>
      </c>
      <c r="H7">
        <v>29.107928500010992</v>
      </c>
      <c r="I7" s="2">
        <f t="shared" si="0"/>
        <v>70.496256715733836</v>
      </c>
      <c r="J7">
        <v>1414</v>
      </c>
      <c r="K7">
        <v>1459</v>
      </c>
      <c r="L7">
        <v>0.62478746381140582</v>
      </c>
      <c r="M7">
        <v>0.37521253618859429</v>
      </c>
      <c r="N7">
        <v>76.368932038834956</v>
      </c>
      <c r="O7">
        <v>90.416901408450698</v>
      </c>
    </row>
    <row r="8" spans="1:17" x14ac:dyDescent="0.2">
      <c r="C8" s="1">
        <v>6</v>
      </c>
      <c r="D8" t="s">
        <v>14</v>
      </c>
      <c r="E8">
        <v>20.75</v>
      </c>
      <c r="F8">
        <v>10.65</v>
      </c>
      <c r="G8">
        <v>2118</v>
      </c>
      <c r="H8">
        <v>29.965480209310307</v>
      </c>
      <c r="I8" s="2">
        <f t="shared" si="0"/>
        <v>70.681330157423446</v>
      </c>
      <c r="J8">
        <v>1428</v>
      </c>
      <c r="K8">
        <v>1401</v>
      </c>
      <c r="L8">
        <v>0.66082802547770703</v>
      </c>
      <c r="M8">
        <v>0.33917197452229297</v>
      </c>
      <c r="N8">
        <v>102.0722891566265</v>
      </c>
      <c r="O8">
        <v>131.5492957746479</v>
      </c>
    </row>
    <row r="9" spans="1:17" x14ac:dyDescent="0.2">
      <c r="C9" s="1">
        <v>7</v>
      </c>
      <c r="D9" t="s">
        <v>15</v>
      </c>
      <c r="E9">
        <v>24.38095238095238</v>
      </c>
      <c r="F9">
        <v>15.142857142857141</v>
      </c>
      <c r="G9">
        <v>2195</v>
      </c>
      <c r="H9">
        <v>30.965957203492842</v>
      </c>
      <c r="I9" s="2">
        <f t="shared" si="0"/>
        <v>70.884293534850343</v>
      </c>
      <c r="J9">
        <v>1446</v>
      </c>
      <c r="K9">
        <v>1385</v>
      </c>
      <c r="L9">
        <v>0.61686746987951813</v>
      </c>
      <c r="M9">
        <v>0.38313253012048198</v>
      </c>
      <c r="N9">
        <v>90.029296875</v>
      </c>
      <c r="O9">
        <v>91.462264150943398</v>
      </c>
    </row>
    <row r="10" spans="1:17" x14ac:dyDescent="0.2">
      <c r="C10" s="1">
        <v>8</v>
      </c>
      <c r="D10" t="s">
        <v>16</v>
      </c>
      <c r="E10">
        <v>31.217391304347821</v>
      </c>
      <c r="F10">
        <v>16.869565217391301</v>
      </c>
      <c r="G10">
        <v>2324</v>
      </c>
      <c r="H10">
        <v>32.642080998941509</v>
      </c>
      <c r="I10" s="2">
        <f t="shared" si="0"/>
        <v>71.196441185087451</v>
      </c>
      <c r="J10">
        <v>1486</v>
      </c>
      <c r="K10">
        <v>1269</v>
      </c>
      <c r="L10">
        <v>0.64918625678119357</v>
      </c>
      <c r="M10">
        <v>0.35081374321880648</v>
      </c>
      <c r="N10">
        <v>74.445682451253489</v>
      </c>
      <c r="O10">
        <v>75.224226804123717</v>
      </c>
    </row>
    <row r="11" spans="1:17" x14ac:dyDescent="0.2">
      <c r="C11" s="1">
        <v>9</v>
      </c>
      <c r="D11" t="s">
        <v>17</v>
      </c>
      <c r="E11">
        <v>36.10526315789474</v>
      </c>
      <c r="F11">
        <v>16.15789473684211</v>
      </c>
      <c r="G11">
        <v>2562</v>
      </c>
      <c r="H11">
        <v>35.7344644355057</v>
      </c>
      <c r="I11" s="2">
        <f t="shared" si="0"/>
        <v>71.695491746460917</v>
      </c>
      <c r="J11">
        <v>1507</v>
      </c>
      <c r="K11">
        <v>1056</v>
      </c>
      <c r="L11">
        <v>0.69083585095669686</v>
      </c>
      <c r="M11">
        <v>0.30916414904330308</v>
      </c>
      <c r="N11">
        <v>70.959183673469383</v>
      </c>
      <c r="O11">
        <v>65.355048859934854</v>
      </c>
    </row>
    <row r="12" spans="1:17" x14ac:dyDescent="0.2">
      <c r="C12" s="1">
        <v>10</v>
      </c>
      <c r="D12" t="s">
        <v>18</v>
      </c>
      <c r="E12">
        <v>34.761904761904759</v>
      </c>
      <c r="F12">
        <v>19.80952380952381</v>
      </c>
      <c r="G12">
        <v>2828</v>
      </c>
      <c r="H12">
        <v>39.190657688136277</v>
      </c>
      <c r="I12" s="2">
        <f t="shared" si="0"/>
        <v>72.160054636084524</v>
      </c>
      <c r="J12">
        <v>1576</v>
      </c>
      <c r="K12">
        <v>801</v>
      </c>
      <c r="L12">
        <v>0.63699825479930194</v>
      </c>
      <c r="M12">
        <v>0.36300174520069811</v>
      </c>
      <c r="N12">
        <v>81.353424657534248</v>
      </c>
      <c r="O12">
        <v>40.435096153846153</v>
      </c>
    </row>
    <row r="13" spans="1:17" x14ac:dyDescent="0.2">
      <c r="D13" t="s">
        <v>19</v>
      </c>
      <c r="E13">
        <f>G13*$B$14</f>
        <v>40.962252302224712</v>
      </c>
      <c r="F13" s="2">
        <f t="shared" ref="F13:F24" si="1">K14*$B$15</f>
        <v>11.091990312478618</v>
      </c>
      <c r="G13">
        <v>2961</v>
      </c>
      <c r="H13">
        <v>40.918754314451562</v>
      </c>
      <c r="I13" s="2">
        <f t="shared" si="0"/>
        <v>72.362906681991618</v>
      </c>
    </row>
    <row r="14" spans="1:17" x14ac:dyDescent="0.2">
      <c r="A14" t="s">
        <v>31</v>
      </c>
      <c r="B14">
        <f>AVERAGE(E2:E12)/AVERAGE(G2:G12)</f>
        <v>1.3833925127397742E-2</v>
      </c>
      <c r="D14" t="s">
        <v>20</v>
      </c>
      <c r="E14">
        <f t="shared" ref="E14:E24" si="2">G14*$B$14</f>
        <v>42.802164344168617</v>
      </c>
      <c r="F14" s="2">
        <f t="shared" si="1"/>
        <v>9.5096807101278884</v>
      </c>
      <c r="G14">
        <v>3094</v>
      </c>
      <c r="H14">
        <v>42.646850940766853</v>
      </c>
      <c r="I14" s="2">
        <f t="shared" si="0"/>
        <v>72.549319158343593</v>
      </c>
      <c r="J14">
        <f t="shared" ref="J14:J25" si="3">G13+$J$12</f>
        <v>4537</v>
      </c>
      <c r="K14">
        <v>701</v>
      </c>
    </row>
    <row r="15" spans="1:17" x14ac:dyDescent="0.2">
      <c r="A15" t="s">
        <v>34</v>
      </c>
      <c r="B15">
        <f>AVERAGE(F2:F12)/AVERAGE(K2:K12)</f>
        <v>1.5823096023507302E-2</v>
      </c>
      <c r="D15" t="s">
        <v>21</v>
      </c>
      <c r="E15">
        <f t="shared" si="2"/>
        <v>44.642076386112514</v>
      </c>
      <c r="F15" s="2">
        <f t="shared" si="1"/>
        <v>7.9273711077771587</v>
      </c>
      <c r="G15">
        <v>3227</v>
      </c>
      <c r="H15">
        <v>44.374947567082138</v>
      </c>
      <c r="I15" s="2">
        <f t="shared" si="0"/>
        <v>72.721212686994292</v>
      </c>
      <c r="J15">
        <f t="shared" si="3"/>
        <v>4670</v>
      </c>
      <c r="K15">
        <v>601</v>
      </c>
    </row>
    <row r="16" spans="1:17" x14ac:dyDescent="0.2">
      <c r="D16" t="s">
        <v>22</v>
      </c>
      <c r="E16">
        <f t="shared" si="2"/>
        <v>46.481988428056411</v>
      </c>
      <c r="F16" s="2">
        <f t="shared" si="1"/>
        <v>6.3450615054264281</v>
      </c>
      <c r="G16">
        <v>3360</v>
      </c>
      <c r="H16">
        <v>46.103044193397423</v>
      </c>
      <c r="I16" s="2">
        <f t="shared" si="0"/>
        <v>72.880219924418725</v>
      </c>
      <c r="J16">
        <f t="shared" si="3"/>
        <v>4803</v>
      </c>
      <c r="K16">
        <v>501</v>
      </c>
    </row>
    <row r="17" spans="4:22" x14ac:dyDescent="0.2">
      <c r="D17" t="s">
        <v>23</v>
      </c>
      <c r="E17">
        <f t="shared" si="2"/>
        <v>48.321900470000315</v>
      </c>
      <c r="F17" s="2">
        <f t="shared" si="1"/>
        <v>4.7627519030756975</v>
      </c>
      <c r="G17">
        <v>3493</v>
      </c>
      <c r="H17">
        <v>47.831140819712708</v>
      </c>
      <c r="I17" s="2">
        <f t="shared" si="0"/>
        <v>73.027737581379739</v>
      </c>
      <c r="J17">
        <f t="shared" si="3"/>
        <v>4936</v>
      </c>
      <c r="K17">
        <v>401</v>
      </c>
    </row>
    <row r="18" spans="4:22" x14ac:dyDescent="0.2">
      <c r="D18" t="s">
        <v>24</v>
      </c>
      <c r="E18">
        <f t="shared" si="2"/>
        <v>50.161812511944213</v>
      </c>
      <c r="F18" s="2">
        <f t="shared" si="1"/>
        <v>4.7627519030756975</v>
      </c>
      <c r="G18">
        <v>3626</v>
      </c>
      <c r="H18">
        <v>49.559237446028</v>
      </c>
      <c r="I18" s="2">
        <f t="shared" si="0"/>
        <v>73.16496755925391</v>
      </c>
      <c r="J18">
        <f t="shared" si="3"/>
        <v>5069</v>
      </c>
      <c r="K18">
        <v>301</v>
      </c>
      <c r="M18" s="4">
        <v>1243</v>
      </c>
      <c r="N18" s="4">
        <v>1268</v>
      </c>
      <c r="O18" s="4">
        <v>1350</v>
      </c>
      <c r="P18" s="4">
        <v>1370</v>
      </c>
      <c r="Q18" s="4">
        <v>1381</v>
      </c>
      <c r="R18" s="4">
        <v>1414</v>
      </c>
      <c r="S18" s="4">
        <v>1428</v>
      </c>
      <c r="T18" s="4">
        <v>1446</v>
      </c>
      <c r="U18" s="4">
        <v>1486</v>
      </c>
      <c r="V18" s="4">
        <v>1507</v>
      </c>
    </row>
    <row r="19" spans="4:22" x14ac:dyDescent="0.2">
      <c r="D19" t="s">
        <v>25</v>
      </c>
      <c r="E19">
        <f t="shared" si="2"/>
        <v>52.00172455388811</v>
      </c>
      <c r="F19" s="2">
        <f t="shared" si="1"/>
        <v>4.7627519030756975</v>
      </c>
      <c r="G19">
        <v>3759</v>
      </c>
      <c r="H19">
        <v>51.287334072343285</v>
      </c>
      <c r="I19" s="2">
        <f t="shared" si="0"/>
        <v>73.292949769971415</v>
      </c>
      <c r="J19">
        <f t="shared" si="3"/>
        <v>5202</v>
      </c>
      <c r="K19">
        <v>301</v>
      </c>
    </row>
    <row r="20" spans="4:22" x14ac:dyDescent="0.2">
      <c r="D20" t="s">
        <v>26</v>
      </c>
      <c r="E20">
        <f t="shared" si="2"/>
        <v>53.841636595832014</v>
      </c>
      <c r="F20" s="2">
        <f t="shared" si="1"/>
        <v>4.7627519030756975</v>
      </c>
      <c r="G20">
        <v>3892</v>
      </c>
      <c r="H20">
        <v>53.015430698658569</v>
      </c>
      <c r="I20" s="2">
        <f t="shared" si="0"/>
        <v>73.412588537142227</v>
      </c>
      <c r="J20">
        <f t="shared" si="3"/>
        <v>5335</v>
      </c>
      <c r="K20">
        <v>301</v>
      </c>
    </row>
    <row r="21" spans="4:22" x14ac:dyDescent="0.2">
      <c r="D21" t="s">
        <v>27</v>
      </c>
      <c r="E21">
        <f t="shared" si="2"/>
        <v>55.681548637775911</v>
      </c>
      <c r="F21" s="2">
        <f t="shared" si="1"/>
        <v>4.7627519030756975</v>
      </c>
      <c r="G21">
        <v>4025</v>
      </c>
      <c r="H21">
        <v>54.743527324973861</v>
      </c>
      <c r="I21" s="2">
        <f t="shared" si="0"/>
        <v>73.524673996733952</v>
      </c>
      <c r="J21">
        <f t="shared" si="3"/>
        <v>5468</v>
      </c>
      <c r="K21">
        <v>301</v>
      </c>
    </row>
    <row r="22" spans="4:22" x14ac:dyDescent="0.2">
      <c r="D22" t="s">
        <v>28</v>
      </c>
      <c r="E22">
        <f t="shared" si="2"/>
        <v>57.521460679719809</v>
      </c>
      <c r="F22" s="2">
        <f t="shared" si="1"/>
        <v>4.7627519030756975</v>
      </c>
      <c r="G22">
        <v>4158</v>
      </c>
      <c r="H22">
        <v>56.471623951289146</v>
      </c>
      <c r="I22" s="2">
        <f t="shared" si="0"/>
        <v>73.629899568437679</v>
      </c>
      <c r="J22">
        <f t="shared" si="3"/>
        <v>5601</v>
      </c>
      <c r="K22">
        <v>301</v>
      </c>
      <c r="M22" s="4">
        <v>1243</v>
      </c>
    </row>
    <row r="23" spans="4:22" x14ac:dyDescent="0.2">
      <c r="D23" t="s">
        <v>29</v>
      </c>
      <c r="E23">
        <f t="shared" si="2"/>
        <v>59.361372721663713</v>
      </c>
      <c r="F23" s="2">
        <f t="shared" si="1"/>
        <v>4.7627519030756975</v>
      </c>
      <c r="G23">
        <v>4291</v>
      </c>
      <c r="H23">
        <v>58.199720577604431</v>
      </c>
      <c r="I23" s="2">
        <f t="shared" si="0"/>
        <v>73.728876314419978</v>
      </c>
      <c r="J23">
        <f t="shared" si="3"/>
        <v>5734</v>
      </c>
      <c r="K23">
        <v>301</v>
      </c>
      <c r="M23" s="4">
        <v>1268</v>
      </c>
    </row>
    <row r="24" spans="4:22" x14ac:dyDescent="0.2">
      <c r="D24" t="s">
        <v>30</v>
      </c>
      <c r="E24">
        <f t="shared" si="2"/>
        <v>61.20128476360761</v>
      </c>
      <c r="F24" s="2">
        <f t="shared" si="1"/>
        <v>4.7627519030756975</v>
      </c>
      <c r="G24">
        <v>4424</v>
      </c>
      <c r="H24">
        <v>59.927817203919723</v>
      </c>
      <c r="I24" s="2">
        <f t="shared" si="0"/>
        <v>73.822144813755003</v>
      </c>
      <c r="J24">
        <f t="shared" si="3"/>
        <v>5867</v>
      </c>
      <c r="K24">
        <v>301</v>
      </c>
      <c r="M24" s="4">
        <v>1350</v>
      </c>
    </row>
    <row r="25" spans="4:22" x14ac:dyDescent="0.2">
      <c r="J25">
        <f t="shared" si="3"/>
        <v>6000</v>
      </c>
      <c r="K25">
        <v>301</v>
      </c>
      <c r="M25" s="4">
        <v>1370</v>
      </c>
    </row>
    <row r="26" spans="4:22" x14ac:dyDescent="0.2">
      <c r="M26" s="4">
        <v>1381</v>
      </c>
    </row>
    <row r="27" spans="4:22" x14ac:dyDescent="0.2">
      <c r="M27" s="4">
        <v>1414</v>
      </c>
    </row>
    <row r="28" spans="4:22" ht="15" customHeight="1" x14ac:dyDescent="0.2">
      <c r="M28" s="4">
        <v>1428</v>
      </c>
    </row>
    <row r="29" spans="4:22" ht="15" customHeight="1" x14ac:dyDescent="0.2">
      <c r="M29" s="4">
        <v>1446</v>
      </c>
    </row>
    <row r="30" spans="4:22" ht="15" customHeight="1" x14ac:dyDescent="0.2">
      <c r="M30" s="4">
        <v>1486</v>
      </c>
    </row>
    <row r="31" spans="4:22" ht="15" customHeight="1" x14ac:dyDescent="0.2">
      <c r="M31" s="4">
        <v>1507</v>
      </c>
    </row>
    <row r="32" spans="4:22" ht="15" customHeight="1" x14ac:dyDescent="0.2"/>
    <row r="33" spans="1:3" ht="15" customHeight="1" x14ac:dyDescent="0.2"/>
    <row r="34" spans="1:3" ht="15" customHeight="1" x14ac:dyDescent="0.2"/>
    <row r="35" spans="1:3" ht="15" customHeight="1" x14ac:dyDescent="0.2"/>
    <row r="46" spans="1:3" ht="16" x14ac:dyDescent="0.2">
      <c r="A46" s="65" t="s">
        <v>35</v>
      </c>
      <c r="B46" s="65"/>
      <c r="C46" s="65"/>
    </row>
    <row r="47" spans="1:3" ht="16" x14ac:dyDescent="0.2">
      <c r="A47" s="5" t="s">
        <v>36</v>
      </c>
      <c r="B47" s="6" t="s">
        <v>37</v>
      </c>
      <c r="C47" s="7" t="s">
        <v>38</v>
      </c>
    </row>
    <row r="48" spans="1:3" ht="16" x14ac:dyDescent="0.2">
      <c r="A48" s="8" t="s">
        <v>39</v>
      </c>
      <c r="B48" s="9">
        <v>7.8</v>
      </c>
      <c r="C48" s="9">
        <f>B48*1.37</f>
        <v>10.686</v>
      </c>
    </row>
    <row r="49" spans="1:3" ht="16" x14ac:dyDescent="0.2">
      <c r="A49" s="8" t="s">
        <v>40</v>
      </c>
      <c r="B49" s="10">
        <v>8</v>
      </c>
      <c r="C49" s="10">
        <v>8</v>
      </c>
    </row>
    <row r="50" spans="1:3" ht="16" x14ac:dyDescent="0.2">
      <c r="A50" s="8" t="s">
        <v>41</v>
      </c>
      <c r="B50" s="10">
        <f>B48*B49</f>
        <v>62.4</v>
      </c>
      <c r="C50" s="10">
        <f>C48*C49</f>
        <v>85.488</v>
      </c>
    </row>
    <row r="51" spans="1:3" ht="16" x14ac:dyDescent="0.2">
      <c r="A51" s="11" t="s">
        <v>42</v>
      </c>
      <c r="B51" s="7">
        <v>20</v>
      </c>
      <c r="C51" s="7">
        <v>20</v>
      </c>
    </row>
    <row r="52" spans="1:3" ht="16" x14ac:dyDescent="0.2">
      <c r="A52" s="8" t="s">
        <v>43</v>
      </c>
      <c r="B52" s="10">
        <v>7</v>
      </c>
      <c r="C52" s="10">
        <v>7</v>
      </c>
    </row>
    <row r="53" spans="1:3" ht="16" x14ac:dyDescent="0.2">
      <c r="A53" s="8" t="s">
        <v>44</v>
      </c>
      <c r="B53" s="10">
        <v>5</v>
      </c>
      <c r="C53" s="10">
        <v>5</v>
      </c>
    </row>
  </sheetData>
  <mergeCells count="1">
    <mergeCell ref="A46:C46"/>
  </mergeCells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0717-F82E-4802-A0CE-63A47527946B}">
  <dimension ref="A1:M58"/>
  <sheetViews>
    <sheetView workbookViewId="0">
      <selection activeCell="D8" sqref="D8"/>
    </sheetView>
  </sheetViews>
  <sheetFormatPr baseColWidth="10" defaultRowHeight="15" x14ac:dyDescent="0.2"/>
  <cols>
    <col min="2" max="2" width="26.5" bestFit="1" customWidth="1"/>
    <col min="3" max="3" width="24.5" bestFit="1" customWidth="1"/>
  </cols>
  <sheetData>
    <row r="1" spans="1:13" x14ac:dyDescent="0.2">
      <c r="E1" cm="1">
        <f t="array" ref="E1:F1">LINEST(E3:E13,F3:F13)</f>
        <v>0.32037253595440413</v>
      </c>
      <c r="F1">
        <v>-0.58912877235320593</v>
      </c>
    </row>
    <row r="2" spans="1:13" x14ac:dyDescent="0.2">
      <c r="B2" s="1" t="s">
        <v>4</v>
      </c>
      <c r="C2" s="1" t="s">
        <v>5</v>
      </c>
      <c r="D2" t="s">
        <v>52</v>
      </c>
      <c r="E2" t="s">
        <v>1</v>
      </c>
      <c r="F2" t="s">
        <v>55</v>
      </c>
      <c r="I2" t="s">
        <v>2</v>
      </c>
      <c r="J2" t="s">
        <v>53</v>
      </c>
      <c r="K2" t="s">
        <v>54</v>
      </c>
      <c r="M2" s="13"/>
    </row>
    <row r="3" spans="1:13" x14ac:dyDescent="0.2">
      <c r="A3" t="s">
        <v>8</v>
      </c>
      <c r="B3">
        <v>0.47231270358306188</v>
      </c>
      <c r="C3">
        <v>0.52768729641693812</v>
      </c>
      <c r="D3">
        <v>734</v>
      </c>
      <c r="E3">
        <f>D3*B3</f>
        <v>346.67752442996743</v>
      </c>
      <c r="F3" s="10">
        <v>1462</v>
      </c>
      <c r="G3">
        <f>F3/E3</f>
        <v>4.2171756083810958</v>
      </c>
      <c r="H3">
        <f>F3/E3</f>
        <v>4.2171756083810958</v>
      </c>
      <c r="I3">
        <f>D3*C3</f>
        <v>387.32247557003257</v>
      </c>
      <c r="J3">
        <v>7</v>
      </c>
      <c r="K3">
        <f>E3/J3</f>
        <v>49.52536063285249</v>
      </c>
      <c r="M3" s="10"/>
    </row>
    <row r="4" spans="1:13" x14ac:dyDescent="0.2">
      <c r="A4" t="s">
        <v>9</v>
      </c>
      <c r="B4">
        <v>0.3923076923076923</v>
      </c>
      <c r="C4">
        <v>0.60769230769230764</v>
      </c>
      <c r="D4">
        <v>1332</v>
      </c>
      <c r="E4">
        <f t="shared" ref="E4:E13" si="0">D4*B4</f>
        <v>522.55384615384617</v>
      </c>
      <c r="F4" s="10">
        <v>1559</v>
      </c>
      <c r="G4">
        <f t="shared" ref="G4:G25" si="1">F4/E4</f>
        <v>2.9834246010716599</v>
      </c>
      <c r="H4">
        <f t="shared" ref="H4:H14" si="2">F4/E4</f>
        <v>2.9834246010716599</v>
      </c>
      <c r="I4">
        <f t="shared" ref="I4:I13" si="3">D4*C4</f>
        <v>809.44615384615383</v>
      </c>
      <c r="J4">
        <v>16</v>
      </c>
      <c r="K4">
        <f t="shared" ref="K4:K13" si="4">E4/J4</f>
        <v>32.659615384615385</v>
      </c>
      <c r="M4" s="10"/>
    </row>
    <row r="5" spans="1:13" x14ac:dyDescent="0.2">
      <c r="A5" t="s">
        <v>10</v>
      </c>
      <c r="B5">
        <v>0.41205211726384372</v>
      </c>
      <c r="C5">
        <v>0.58794788273615639</v>
      </c>
      <c r="D5">
        <v>1386</v>
      </c>
      <c r="E5">
        <f t="shared" si="0"/>
        <v>571.10423452768737</v>
      </c>
      <c r="F5" s="10">
        <v>1683</v>
      </c>
      <c r="G5">
        <f t="shared" si="1"/>
        <v>2.9469226425748163</v>
      </c>
      <c r="H5">
        <f t="shared" si="2"/>
        <v>2.9469226425748163</v>
      </c>
      <c r="I5">
        <f t="shared" si="3"/>
        <v>814.89576547231275</v>
      </c>
      <c r="J5">
        <v>22</v>
      </c>
      <c r="K5">
        <f t="shared" si="4"/>
        <v>25.959283387622154</v>
      </c>
      <c r="M5" s="10"/>
    </row>
    <row r="6" spans="1:13" x14ac:dyDescent="0.2">
      <c r="A6" t="s">
        <v>11</v>
      </c>
      <c r="B6">
        <v>0.52760084925690021</v>
      </c>
      <c r="C6">
        <v>0.47239915074309979</v>
      </c>
      <c r="D6">
        <v>1299</v>
      </c>
      <c r="E6">
        <f t="shared" si="0"/>
        <v>685.35350318471342</v>
      </c>
      <c r="F6" s="10">
        <v>1833</v>
      </c>
      <c r="G6">
        <f t="shared" si="1"/>
        <v>2.674532181541907</v>
      </c>
      <c r="H6">
        <f t="shared" si="2"/>
        <v>2.674532181541907</v>
      </c>
      <c r="I6">
        <f t="shared" si="3"/>
        <v>613.64649681528658</v>
      </c>
      <c r="J6">
        <v>22</v>
      </c>
      <c r="K6">
        <f t="shared" si="4"/>
        <v>31.15243196294152</v>
      </c>
      <c r="M6" s="10"/>
    </row>
    <row r="7" spans="1:13" x14ac:dyDescent="0.2">
      <c r="A7" t="s">
        <v>12</v>
      </c>
      <c r="B7">
        <v>0.60317460317460314</v>
      </c>
      <c r="C7">
        <v>0.3968253968253968</v>
      </c>
      <c r="D7">
        <v>1094</v>
      </c>
      <c r="E7">
        <f t="shared" si="0"/>
        <v>659.87301587301579</v>
      </c>
      <c r="F7" s="10">
        <v>1987</v>
      </c>
      <c r="G7">
        <f t="shared" si="1"/>
        <v>3.0111854132589246</v>
      </c>
      <c r="H7">
        <f t="shared" si="2"/>
        <v>3.0111854132589246</v>
      </c>
      <c r="I7">
        <f t="shared" si="3"/>
        <v>434.1269841269841</v>
      </c>
      <c r="J7">
        <v>20</v>
      </c>
      <c r="K7">
        <f t="shared" si="4"/>
        <v>32.993650793650787</v>
      </c>
      <c r="M7" s="10"/>
    </row>
    <row r="8" spans="1:13" x14ac:dyDescent="0.2">
      <c r="A8" t="s">
        <v>13</v>
      </c>
      <c r="B8">
        <v>0.62478746381140582</v>
      </c>
      <c r="C8">
        <v>0.37521253618859429</v>
      </c>
      <c r="D8">
        <v>1245</v>
      </c>
      <c r="E8">
        <f t="shared" si="0"/>
        <v>777.8603924452002</v>
      </c>
      <c r="F8" s="10">
        <v>2052</v>
      </c>
      <c r="G8">
        <f t="shared" si="1"/>
        <v>2.6380055083529172</v>
      </c>
      <c r="H8">
        <f t="shared" si="2"/>
        <v>2.6380055083529172</v>
      </c>
      <c r="I8">
        <f t="shared" si="3"/>
        <v>467.13960755479991</v>
      </c>
      <c r="J8">
        <v>23</v>
      </c>
      <c r="K8">
        <f t="shared" si="4"/>
        <v>33.820017062834793</v>
      </c>
      <c r="M8" s="10"/>
    </row>
    <row r="9" spans="1:13" x14ac:dyDescent="0.2">
      <c r="A9" t="s">
        <v>14</v>
      </c>
      <c r="B9">
        <v>0.66082802547770703</v>
      </c>
      <c r="C9">
        <v>0.33917197452229297</v>
      </c>
      <c r="D9">
        <v>905</v>
      </c>
      <c r="E9">
        <f t="shared" si="0"/>
        <v>598.04936305732485</v>
      </c>
      <c r="F9" s="10">
        <v>2118</v>
      </c>
      <c r="G9">
        <f t="shared" si="1"/>
        <v>3.5415136790254942</v>
      </c>
      <c r="H9">
        <f t="shared" si="2"/>
        <v>3.5415136790254942</v>
      </c>
      <c r="I9">
        <f t="shared" si="3"/>
        <v>306.95063694267515</v>
      </c>
      <c r="J9">
        <v>22</v>
      </c>
      <c r="K9">
        <f t="shared" si="4"/>
        <v>27.18406195715113</v>
      </c>
      <c r="M9" s="10"/>
    </row>
    <row r="10" spans="1:13" x14ac:dyDescent="0.2">
      <c r="A10" t="s">
        <v>15</v>
      </c>
      <c r="B10">
        <v>0.61686746987951813</v>
      </c>
      <c r="C10">
        <v>0.38313253012048198</v>
      </c>
      <c r="D10">
        <v>1057</v>
      </c>
      <c r="E10">
        <f t="shared" si="0"/>
        <v>652.02891566265066</v>
      </c>
      <c r="F10" s="10">
        <v>2195</v>
      </c>
      <c r="G10">
        <f t="shared" si="1"/>
        <v>3.3664151194418164</v>
      </c>
      <c r="H10">
        <f t="shared" si="2"/>
        <v>3.3664151194418164</v>
      </c>
      <c r="I10">
        <f t="shared" si="3"/>
        <v>404.97108433734945</v>
      </c>
      <c r="J10">
        <v>21</v>
      </c>
      <c r="K10">
        <f t="shared" si="4"/>
        <v>31.048995983935747</v>
      </c>
      <c r="M10" s="10"/>
    </row>
    <row r="11" spans="1:13" x14ac:dyDescent="0.2">
      <c r="A11" t="s">
        <v>16</v>
      </c>
      <c r="B11">
        <v>0.64918625678119357</v>
      </c>
      <c r="C11">
        <v>0.35081374321880648</v>
      </c>
      <c r="D11">
        <v>1225</v>
      </c>
      <c r="E11">
        <f t="shared" si="0"/>
        <v>795.25316455696213</v>
      </c>
      <c r="F11" s="10">
        <v>2324</v>
      </c>
      <c r="G11">
        <f t="shared" si="1"/>
        <v>2.9223398328690804</v>
      </c>
      <c r="H11">
        <f t="shared" si="2"/>
        <v>2.9223398328690804</v>
      </c>
      <c r="I11">
        <f t="shared" si="3"/>
        <v>429.74683544303792</v>
      </c>
      <c r="J11">
        <v>23</v>
      </c>
      <c r="K11">
        <f t="shared" si="4"/>
        <v>34.576224545954872</v>
      </c>
      <c r="M11" s="10"/>
    </row>
    <row r="12" spans="1:13" x14ac:dyDescent="0.2">
      <c r="A12" t="s">
        <v>17</v>
      </c>
      <c r="B12">
        <v>0.69083585095669686</v>
      </c>
      <c r="C12">
        <v>0.30916414904330308</v>
      </c>
      <c r="D12">
        <v>909</v>
      </c>
      <c r="E12">
        <f t="shared" si="0"/>
        <v>627.9697885196374</v>
      </c>
      <c r="F12" s="10">
        <v>2562</v>
      </c>
      <c r="G12">
        <f t="shared" si="1"/>
        <v>4.0798141038593663</v>
      </c>
      <c r="H12">
        <f t="shared" si="2"/>
        <v>4.0798141038593663</v>
      </c>
      <c r="I12">
        <f t="shared" si="3"/>
        <v>281.03021148036248</v>
      </c>
      <c r="J12">
        <v>20</v>
      </c>
      <c r="K12">
        <f t="shared" si="4"/>
        <v>31.398489425981872</v>
      </c>
      <c r="M12" s="10"/>
    </row>
    <row r="13" spans="1:13" x14ac:dyDescent="0.2">
      <c r="A13" t="s">
        <v>18</v>
      </c>
      <c r="B13">
        <v>0.63699825479930194</v>
      </c>
      <c r="C13">
        <v>0.36300174520069811</v>
      </c>
      <c r="D13">
        <v>1567</v>
      </c>
      <c r="E13">
        <f t="shared" si="0"/>
        <v>998.17626527050618</v>
      </c>
      <c r="F13" s="10">
        <v>2828</v>
      </c>
      <c r="G13">
        <f t="shared" si="1"/>
        <v>2.8331669449519628</v>
      </c>
      <c r="H13">
        <f t="shared" si="2"/>
        <v>2.8331669449519628</v>
      </c>
      <c r="I13">
        <f t="shared" si="3"/>
        <v>568.82373472949394</v>
      </c>
      <c r="J13">
        <v>21</v>
      </c>
      <c r="K13">
        <f t="shared" si="4"/>
        <v>47.53220310811934</v>
      </c>
      <c r="M13" s="10"/>
    </row>
    <row r="14" spans="1:13" x14ac:dyDescent="0.2">
      <c r="E14">
        <f>F14*$E$1+$F$1</f>
        <v>948.03395018863739</v>
      </c>
      <c r="F14" s="10">
        <v>2961</v>
      </c>
      <c r="G14">
        <f t="shared" si="1"/>
        <v>3.1233058683297448</v>
      </c>
      <c r="H14">
        <f t="shared" si="2"/>
        <v>3.1233058683297448</v>
      </c>
    </row>
    <row r="15" spans="1:13" x14ac:dyDescent="0.2">
      <c r="E15">
        <f t="shared" ref="E15:E25" si="5">F15*$E$1+$F$1</f>
        <v>990.64349747057315</v>
      </c>
      <c r="F15" s="10">
        <v>3094</v>
      </c>
      <c r="G15">
        <f t="shared" si="1"/>
        <v>3.123222438647165</v>
      </c>
    </row>
    <row r="16" spans="1:13" x14ac:dyDescent="0.2">
      <c r="E16">
        <f t="shared" si="5"/>
        <v>1033.2530447525089</v>
      </c>
      <c r="F16" s="10">
        <v>3227</v>
      </c>
      <c r="G16">
        <f t="shared" si="1"/>
        <v>3.1231458899527857</v>
      </c>
    </row>
    <row r="17" spans="5:10" x14ac:dyDescent="0.2">
      <c r="E17">
        <f t="shared" si="5"/>
        <v>1075.8625920344446</v>
      </c>
      <c r="F17" s="10">
        <v>3360</v>
      </c>
      <c r="G17">
        <f t="shared" si="1"/>
        <v>3.1230754046818157</v>
      </c>
    </row>
    <row r="18" spans="5:10" x14ac:dyDescent="0.2">
      <c r="E18">
        <f t="shared" si="5"/>
        <v>1118.4721393163804</v>
      </c>
      <c r="F18" s="10">
        <v>3493</v>
      </c>
      <c r="G18">
        <f t="shared" si="1"/>
        <v>3.1230102898539349</v>
      </c>
    </row>
    <row r="19" spans="5:10" x14ac:dyDescent="0.2">
      <c r="E19">
        <f t="shared" si="5"/>
        <v>1161.0816865983161</v>
      </c>
      <c r="F19" s="10">
        <v>3626</v>
      </c>
      <c r="G19">
        <f t="shared" si="1"/>
        <v>3.1229499542132033</v>
      </c>
    </row>
    <row r="20" spans="5:10" x14ac:dyDescent="0.2">
      <c r="E20">
        <f t="shared" si="5"/>
        <v>1203.691233880252</v>
      </c>
      <c r="F20" s="10">
        <v>3759</v>
      </c>
      <c r="G20">
        <f t="shared" si="1"/>
        <v>3.1228938902233132</v>
      </c>
    </row>
    <row r="21" spans="5:10" x14ac:dyDescent="0.2">
      <c r="E21">
        <f t="shared" si="5"/>
        <v>1246.3007811621876</v>
      </c>
      <c r="F21" s="10">
        <v>3892</v>
      </c>
      <c r="G21">
        <f t="shared" si="1"/>
        <v>3.1228416597562205</v>
      </c>
    </row>
    <row r="22" spans="5:10" x14ac:dyDescent="0.2">
      <c r="E22">
        <f t="shared" si="5"/>
        <v>1288.9103284441235</v>
      </c>
      <c r="F22" s="10">
        <v>4025</v>
      </c>
      <c r="G22">
        <f t="shared" si="1"/>
        <v>3.1227928826194451</v>
      </c>
    </row>
    <row r="23" spans="5:10" x14ac:dyDescent="0.2">
      <c r="E23">
        <f t="shared" si="5"/>
        <v>1331.5198757260591</v>
      </c>
      <c r="F23" s="10">
        <v>4158</v>
      </c>
      <c r="G23">
        <f t="shared" si="1"/>
        <v>3.1227472272861876</v>
      </c>
    </row>
    <row r="24" spans="5:10" x14ac:dyDescent="0.2">
      <c r="E24">
        <f t="shared" si="5"/>
        <v>1374.129423007995</v>
      </c>
      <c r="F24" s="10">
        <v>4291</v>
      </c>
      <c r="G24">
        <f t="shared" si="1"/>
        <v>3.1227044033501015</v>
      </c>
    </row>
    <row r="25" spans="5:10" x14ac:dyDescent="0.2">
      <c r="E25">
        <f t="shared" si="5"/>
        <v>1416.7389702899306</v>
      </c>
      <c r="F25" s="12">
        <v>4424</v>
      </c>
      <c r="G25">
        <f t="shared" si="1"/>
        <v>3.1226641553416461</v>
      </c>
    </row>
    <row r="29" spans="5:10" x14ac:dyDescent="0.2">
      <c r="E29">
        <f>E25/22</f>
        <v>64.39722592226957</v>
      </c>
      <c r="F29">
        <f>E29/8</f>
        <v>8.0496532402836962</v>
      </c>
    </row>
    <row r="31" spans="5:10" x14ac:dyDescent="0.2">
      <c r="J31">
        <f>C51/22</f>
        <v>5.8258431897684861</v>
      </c>
    </row>
    <row r="37" spans="2:5" x14ac:dyDescent="0.2">
      <c r="B37" t="s">
        <v>9</v>
      </c>
      <c r="C37">
        <v>809.44615384615383</v>
      </c>
      <c r="D37" s="10">
        <v>1796</v>
      </c>
      <c r="E37">
        <f>D37/C37</f>
        <v>2.2188010795605733</v>
      </c>
    </row>
    <row r="38" spans="2:5" x14ac:dyDescent="0.2">
      <c r="B38" t="s">
        <v>10</v>
      </c>
      <c r="C38">
        <v>814.89576547231275</v>
      </c>
      <c r="D38" s="10">
        <v>1688</v>
      </c>
      <c r="E38">
        <f t="shared" ref="E38:E45" si="6">D38/C38</f>
        <v>2.0714305700455284</v>
      </c>
    </row>
    <row r="39" spans="2:5" x14ac:dyDescent="0.2">
      <c r="B39" t="s">
        <v>11</v>
      </c>
      <c r="C39">
        <v>615.53609341825904</v>
      </c>
      <c r="D39" s="10">
        <v>1580</v>
      </c>
      <c r="E39">
        <f t="shared" si="6"/>
        <v>2.5668681607698742</v>
      </c>
    </row>
    <row r="40" spans="2:5" x14ac:dyDescent="0.2">
      <c r="B40" t="s">
        <v>12</v>
      </c>
      <c r="C40">
        <v>434.1269841269841</v>
      </c>
      <c r="D40" s="10">
        <v>1486</v>
      </c>
      <c r="E40">
        <f t="shared" si="6"/>
        <v>3.4229616087751373</v>
      </c>
    </row>
    <row r="41" spans="2:5" x14ac:dyDescent="0.2">
      <c r="B41" t="s">
        <v>13</v>
      </c>
      <c r="C41">
        <v>467.13960755479991</v>
      </c>
      <c r="D41" s="10">
        <v>1459</v>
      </c>
      <c r="E41">
        <f t="shared" si="6"/>
        <v>3.123263316585386</v>
      </c>
    </row>
    <row r="42" spans="2:5" x14ac:dyDescent="0.2">
      <c r="B42" t="s">
        <v>14</v>
      </c>
      <c r="C42">
        <v>307.62898089171972</v>
      </c>
      <c r="D42" s="10">
        <v>1401</v>
      </c>
      <c r="E42">
        <f t="shared" si="6"/>
        <v>4.5541873068621213</v>
      </c>
    </row>
    <row r="43" spans="2:5" x14ac:dyDescent="0.2">
      <c r="B43" t="s">
        <v>15</v>
      </c>
      <c r="C43">
        <v>404.97108433734945</v>
      </c>
      <c r="D43" s="10">
        <v>1385</v>
      </c>
      <c r="E43">
        <f t="shared" si="6"/>
        <v>3.4199972629311621</v>
      </c>
    </row>
    <row r="44" spans="2:5" x14ac:dyDescent="0.2">
      <c r="B44" t="s">
        <v>16</v>
      </c>
      <c r="C44">
        <v>429.74683544303792</v>
      </c>
      <c r="D44" s="10">
        <v>1269</v>
      </c>
      <c r="E44">
        <f t="shared" si="6"/>
        <v>2.9529013254786456</v>
      </c>
    </row>
    <row r="45" spans="2:5" x14ac:dyDescent="0.2">
      <c r="B45" t="s">
        <v>17</v>
      </c>
      <c r="C45">
        <v>281.03021148036248</v>
      </c>
      <c r="D45" s="10">
        <v>1056</v>
      </c>
      <c r="E45">
        <f t="shared" si="6"/>
        <v>3.7576031218757064</v>
      </c>
    </row>
    <row r="46" spans="2:5" x14ac:dyDescent="0.2">
      <c r="C46">
        <f t="shared" ref="C46:C58" si="7">D46/(AVERAGE($E$37:$E$45))</f>
        <v>256.65752172525066</v>
      </c>
      <c r="D46" s="10">
        <v>801</v>
      </c>
    </row>
    <row r="47" spans="2:5" x14ac:dyDescent="0.2">
      <c r="C47">
        <f t="shared" si="7"/>
        <v>224.29496280608672</v>
      </c>
      <c r="D47" s="10">
        <v>700</v>
      </c>
    </row>
    <row r="48" spans="2:5" x14ac:dyDescent="0.2">
      <c r="C48">
        <f t="shared" si="7"/>
        <v>192.25282526236006</v>
      </c>
      <c r="D48" s="10">
        <v>600</v>
      </c>
    </row>
    <row r="49" spans="3:4" x14ac:dyDescent="0.2">
      <c r="C49">
        <f t="shared" si="7"/>
        <v>160.21068771863338</v>
      </c>
      <c r="D49" s="10">
        <v>500</v>
      </c>
    </row>
    <row r="50" spans="3:4" x14ac:dyDescent="0.2">
      <c r="C50">
        <f t="shared" si="7"/>
        <v>128.1685501749067</v>
      </c>
      <c r="D50" s="10">
        <v>400</v>
      </c>
    </row>
    <row r="51" spans="3:4" x14ac:dyDescent="0.2">
      <c r="C51">
        <f t="shared" si="7"/>
        <v>128.1685501749067</v>
      </c>
      <c r="D51" s="10">
        <v>400</v>
      </c>
    </row>
    <row r="52" spans="3:4" x14ac:dyDescent="0.2">
      <c r="C52">
        <f t="shared" si="7"/>
        <v>128.1685501749067</v>
      </c>
      <c r="D52" s="10">
        <v>400</v>
      </c>
    </row>
    <row r="53" spans="3:4" x14ac:dyDescent="0.2">
      <c r="C53">
        <f t="shared" si="7"/>
        <v>128.1685501749067</v>
      </c>
      <c r="D53" s="10">
        <v>400</v>
      </c>
    </row>
    <row r="54" spans="3:4" x14ac:dyDescent="0.2">
      <c r="C54">
        <f t="shared" si="7"/>
        <v>128.1685501749067</v>
      </c>
      <c r="D54" s="10">
        <v>400</v>
      </c>
    </row>
    <row r="55" spans="3:4" x14ac:dyDescent="0.2">
      <c r="C55">
        <f t="shared" si="7"/>
        <v>128.1685501749067</v>
      </c>
      <c r="D55" s="10">
        <v>400</v>
      </c>
    </row>
    <row r="56" spans="3:4" x14ac:dyDescent="0.2">
      <c r="C56">
        <f t="shared" si="7"/>
        <v>128.1685501749067</v>
      </c>
      <c r="D56" s="10">
        <v>400</v>
      </c>
    </row>
    <row r="57" spans="3:4" x14ac:dyDescent="0.2">
      <c r="C57">
        <f t="shared" si="7"/>
        <v>128.1685501749067</v>
      </c>
      <c r="D57" s="10">
        <v>400</v>
      </c>
    </row>
    <row r="58" spans="3:4" x14ac:dyDescent="0.2">
      <c r="C58">
        <f t="shared" si="7"/>
        <v>128.1685501749067</v>
      </c>
      <c r="D58" s="12">
        <v>400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912B-FC0D-4204-AE3B-C675BF2EE28B}">
  <dimension ref="A1:V57"/>
  <sheetViews>
    <sheetView tabSelected="1" zoomScale="72" workbookViewId="0">
      <selection activeCell="P7" sqref="P7"/>
    </sheetView>
  </sheetViews>
  <sheetFormatPr baseColWidth="10" defaultRowHeight="15" customHeight="1" x14ac:dyDescent="0.2"/>
  <cols>
    <col min="1" max="1" width="32" bestFit="1" customWidth="1"/>
    <col min="2" max="2" width="12" bestFit="1" customWidth="1"/>
    <col min="3" max="3" width="9.83203125" bestFit="1" customWidth="1"/>
    <col min="4" max="4" width="10.5" bestFit="1" customWidth="1"/>
    <col min="5" max="5" width="8.6640625" customWidth="1"/>
    <col min="6" max="6" width="26" bestFit="1" customWidth="1"/>
    <col min="7" max="7" width="15.33203125" bestFit="1" customWidth="1"/>
    <col min="8" max="8" width="15.33203125" customWidth="1"/>
    <col min="9" max="9" width="21.6640625" bestFit="1" customWidth="1"/>
    <col min="10" max="10" width="19.6640625" bestFit="1" customWidth="1"/>
    <col min="11" max="11" width="16.33203125" customWidth="1"/>
    <col min="12" max="12" width="22.83203125" bestFit="1" customWidth="1"/>
    <col min="13" max="13" width="21.5" bestFit="1" customWidth="1"/>
    <col min="14" max="14" width="21.5" customWidth="1"/>
    <col min="15" max="15" width="16.5" bestFit="1" customWidth="1"/>
    <col min="16" max="17" width="11.6640625" customWidth="1"/>
    <col min="18" max="18" width="16.33203125" bestFit="1" customWidth="1"/>
    <col min="19" max="19" width="22.83203125" bestFit="1" customWidth="1"/>
    <col min="20" max="20" width="12" bestFit="1" customWidth="1"/>
    <col min="21" max="22" width="16.33203125" bestFit="1" customWidth="1"/>
    <col min="23" max="23" width="19.6640625" bestFit="1" customWidth="1"/>
  </cols>
  <sheetData>
    <row r="1" spans="1:22" ht="15" customHeight="1" thickBot="1" x14ac:dyDescent="0.25"/>
    <row r="2" spans="1:22" ht="15" customHeight="1" thickBot="1" x14ac:dyDescent="0.25">
      <c r="F2" s="53" t="s">
        <v>1</v>
      </c>
      <c r="G2" s="54"/>
      <c r="H2" s="54"/>
      <c r="I2" s="54"/>
      <c r="J2" s="54"/>
      <c r="K2" s="54"/>
      <c r="L2" s="54"/>
      <c r="M2" s="54"/>
      <c r="N2" s="54"/>
      <c r="O2" s="55"/>
    </row>
    <row r="3" spans="1:22" ht="15" customHeight="1" x14ac:dyDescent="0.2">
      <c r="A3" s="31"/>
      <c r="B3" s="31"/>
      <c r="C3" s="31"/>
      <c r="D3" s="31"/>
      <c r="I3" t="s">
        <v>67</v>
      </c>
      <c r="J3" cm="1">
        <f t="array" ref="J3:K3">LINEST(J7:J20,I7:I20)</f>
        <v>-8.3539753029225297E-2</v>
      </c>
      <c r="K3">
        <v>1728.7823079850691</v>
      </c>
    </row>
    <row r="4" spans="1:22" ht="15" customHeight="1" thickBot="1" x14ac:dyDescent="0.25">
      <c r="I4" t="s">
        <v>68</v>
      </c>
      <c r="J4" cm="1">
        <f t="array" ref="J4:K4">LINEST(K7:K20,I7:I20)</f>
        <v>-4.0609528937766287E-2</v>
      </c>
      <c r="K4">
        <v>598.82731979009918</v>
      </c>
    </row>
    <row r="5" spans="1:22" ht="15" customHeight="1" thickBot="1" x14ac:dyDescent="0.25">
      <c r="F5" s="62" t="s">
        <v>48</v>
      </c>
      <c r="G5" s="63"/>
      <c r="H5" s="63"/>
      <c r="I5" s="63"/>
      <c r="J5" s="59" t="s">
        <v>49</v>
      </c>
      <c r="K5" s="60"/>
      <c r="L5" s="60"/>
      <c r="M5" s="60"/>
      <c r="N5" s="60"/>
      <c r="O5" s="61"/>
      <c r="R5" s="51" t="s">
        <v>62</v>
      </c>
      <c r="S5" s="52"/>
      <c r="U5" s="51" t="s">
        <v>62</v>
      </c>
      <c r="V5" s="52"/>
    </row>
    <row r="6" spans="1:22" ht="15" customHeight="1" x14ac:dyDescent="0.2">
      <c r="F6" s="24" t="s">
        <v>0</v>
      </c>
      <c r="G6" s="25" t="s">
        <v>52</v>
      </c>
      <c r="H6" s="25" t="s">
        <v>84</v>
      </c>
      <c r="I6" s="25" t="s">
        <v>56</v>
      </c>
      <c r="J6" s="25" t="s">
        <v>47</v>
      </c>
      <c r="K6" s="25" t="s">
        <v>66</v>
      </c>
      <c r="L6" s="25" t="s">
        <v>69</v>
      </c>
      <c r="M6" s="25" t="s">
        <v>70</v>
      </c>
      <c r="N6" s="25" t="s">
        <v>75</v>
      </c>
      <c r="O6" s="25" t="s">
        <v>74</v>
      </c>
      <c r="R6" s="14" t="s">
        <v>47</v>
      </c>
      <c r="S6" s="13" t="s">
        <v>55</v>
      </c>
      <c r="U6" s="14" t="s">
        <v>47</v>
      </c>
      <c r="V6" s="13" t="s">
        <v>55</v>
      </c>
    </row>
    <row r="7" spans="1:22" ht="15" customHeight="1" x14ac:dyDescent="0.2">
      <c r="F7" s="15" t="s">
        <v>19</v>
      </c>
      <c r="G7" s="50">
        <v>1659</v>
      </c>
      <c r="H7" s="15">
        <v>479</v>
      </c>
      <c r="I7" s="15">
        <v>4428</v>
      </c>
      <c r="J7" s="15" cm="1">
        <f t="array" ref="J7:J20">TREND(G7:G20,I7:I20)</f>
        <v>1358.8682815716595</v>
      </c>
      <c r="K7" s="15" cm="1">
        <f t="array" ref="K7:K20">TREND(H7:H20,I7:I20)</f>
        <v>419.00832565367006</v>
      </c>
      <c r="L7" s="26">
        <f>I7/J7</f>
        <v>3.2585939785706084</v>
      </c>
      <c r="M7" s="10">
        <f>I7/K7</f>
        <v>10.567809107592646</v>
      </c>
      <c r="N7" s="39">
        <f>J7/(J7+K7)</f>
        <v>0.76432091858860673</v>
      </c>
      <c r="O7" s="39">
        <f>K7/(K7+J7)</f>
        <v>0.23567908141139324</v>
      </c>
      <c r="P7" s="39" t="e">
        <f>#REF!/(#REF!+#REF!)</f>
        <v>#REF!</v>
      </c>
      <c r="R7" s="14">
        <f>(J8-$J$7)/$J$7</f>
        <v>-1.1988102203590782E-2</v>
      </c>
      <c r="S7" s="13">
        <f>(I8-$I$7)/$I$7</f>
        <v>4.4037940379403791E-2</v>
      </c>
      <c r="U7" s="14" t="e">
        <f>(#REF!-#REF!)/#REF!</f>
        <v>#REF!</v>
      </c>
      <c r="V7" s="13">
        <f>(I8-$I$7)/$I$7</f>
        <v>4.4037940379403791E-2</v>
      </c>
    </row>
    <row r="8" spans="1:22" ht="15" customHeight="1" x14ac:dyDescent="0.2">
      <c r="F8" s="15" t="s">
        <v>20</v>
      </c>
      <c r="G8" s="50">
        <v>1629</v>
      </c>
      <c r="H8" s="15">
        <v>458</v>
      </c>
      <c r="I8" s="15">
        <v>4623</v>
      </c>
      <c r="J8" s="15">
        <v>1342.5780297309607</v>
      </c>
      <c r="K8" s="15">
        <v>411.08946751080566</v>
      </c>
      <c r="L8" s="26">
        <f>I8/J8</f>
        <v>3.4433752807100557</v>
      </c>
      <c r="M8" s="10">
        <f>I8/K8</f>
        <v>11.245727184383489</v>
      </c>
      <c r="N8" s="39">
        <f>J8/(J8+K8)</f>
        <v>0.76558300352981257</v>
      </c>
      <c r="O8" s="39">
        <f>K8/(K8+J8)</f>
        <v>0.23441699647018749</v>
      </c>
      <c r="P8" s="39" t="e">
        <f>#REF!/(#REF!+#REF!)</f>
        <v>#REF!</v>
      </c>
      <c r="R8" s="14">
        <f>(J9-$J$7)/$J$7</f>
        <v>-2.3545862276796368E-2</v>
      </c>
      <c r="S8" s="13">
        <f>(I9-$I$7)/$I$7</f>
        <v>8.649503161698284E-2</v>
      </c>
      <c r="U8" s="14" t="e">
        <f>(#REF!-#REF!)/#REF!</f>
        <v>#REF!</v>
      </c>
      <c r="V8" s="13">
        <f>(I9-$I$7)/$I$7</f>
        <v>8.649503161698284E-2</v>
      </c>
    </row>
    <row r="9" spans="1:22" ht="15" customHeight="1" x14ac:dyDescent="0.2">
      <c r="F9" s="15" t="s">
        <v>21</v>
      </c>
      <c r="G9" s="50">
        <v>1416</v>
      </c>
      <c r="H9" s="15">
        <v>382</v>
      </c>
      <c r="I9" s="15">
        <v>4811</v>
      </c>
      <c r="J9" s="15">
        <v>1326.8725561614663</v>
      </c>
      <c r="K9" s="15">
        <v>403.45487607050552</v>
      </c>
      <c r="L9" s="26">
        <f>I9/J9</f>
        <v>3.6258192074737225</v>
      </c>
      <c r="M9" s="10">
        <f>I9/K9</f>
        <v>11.924505775855975</v>
      </c>
      <c r="N9" s="39">
        <f>J9/(J9+K9)</f>
        <v>0.76683321979697006</v>
      </c>
      <c r="O9" s="39">
        <f>K9/(K9+J9)</f>
        <v>0.23316678020303006</v>
      </c>
      <c r="P9" s="39" t="e">
        <f>#REF!/(#REF!+#REF!)</f>
        <v>#REF!</v>
      </c>
      <c r="R9" s="14">
        <f>(J10-$J$7)/$J$7</f>
        <v>-2.9201787419003335E-2</v>
      </c>
      <c r="S9" s="13">
        <f>(I10-$I$7)/$I$7</f>
        <v>0.10727190605239385</v>
      </c>
      <c r="U9" s="14" t="e">
        <f>(#REF!-#REF!)/#REF!</f>
        <v>#REF!</v>
      </c>
      <c r="V9" s="13">
        <f>(I10-$I$7)/$I$7</f>
        <v>0.10727190605239385</v>
      </c>
    </row>
    <row r="10" spans="1:22" ht="15" customHeight="1" x14ac:dyDescent="0.2">
      <c r="F10" s="15" t="s">
        <v>22</v>
      </c>
      <c r="G10" s="50">
        <v>1047</v>
      </c>
      <c r="H10" s="15">
        <v>277</v>
      </c>
      <c r="I10" s="15">
        <v>4903</v>
      </c>
      <c r="J10" s="15">
        <v>1319.1868988827775</v>
      </c>
      <c r="K10" s="15">
        <v>399.71879940823106</v>
      </c>
      <c r="L10" s="26">
        <f>I10/J10</f>
        <v>3.7166833631780016</v>
      </c>
      <c r="M10" s="10">
        <f>I10/K10</f>
        <v>12.266123102687967</v>
      </c>
      <c r="N10" s="39">
        <f>J10/(J10+K10)</f>
        <v>0.76745740048122224</v>
      </c>
      <c r="O10" s="39">
        <f>K10/(K10+J10)</f>
        <v>0.23254259951877779</v>
      </c>
      <c r="P10" s="39" t="e">
        <f>#REF!/(#REF!+#REF!)</f>
        <v>#REF!</v>
      </c>
      <c r="R10" s="14">
        <f>(J11-$J$7)/$J$7</f>
        <v>-3.4304415536429197E-2</v>
      </c>
      <c r="S10" s="13">
        <f>(I11-$I$7)/$I$7</f>
        <v>0.12601626016260162</v>
      </c>
      <c r="U10" s="14" t="e">
        <f>(#REF!-#REF!)/#REF!</f>
        <v>#REF!</v>
      </c>
      <c r="V10" s="13">
        <f>(I11-$I$7)/$I$7</f>
        <v>0.12601626016260162</v>
      </c>
    </row>
    <row r="11" spans="1:22" ht="15" customHeight="1" x14ac:dyDescent="0.2">
      <c r="F11" s="15" t="s">
        <v>23</v>
      </c>
      <c r="G11" s="50">
        <v>1206</v>
      </c>
      <c r="H11" s="15">
        <v>468</v>
      </c>
      <c r="I11" s="15">
        <v>4986</v>
      </c>
      <c r="J11" s="15">
        <v>1312.2530993813518</v>
      </c>
      <c r="K11" s="15">
        <v>396.34820850639642</v>
      </c>
      <c r="L11" s="26">
        <f>I11/J11</f>
        <v>3.7995718984017626</v>
      </c>
      <c r="M11" s="10">
        <f>I11/K11</f>
        <v>12.579847449769749</v>
      </c>
      <c r="N11" s="39">
        <f>J11/(J11+K11)</f>
        <v>0.76802768049125503</v>
      </c>
      <c r="O11" s="39">
        <f>K11/(K11+J11)</f>
        <v>0.23197231950874506</v>
      </c>
      <c r="P11" s="39" t="e">
        <f>#REF!/(#REF!+#REF!)</f>
        <v>#REF!</v>
      </c>
      <c r="R11" s="14">
        <f>(J12-$J$7)/$J$7</f>
        <v>-4.2911258144135558E-2</v>
      </c>
      <c r="S11" s="13">
        <f>(I12-$I$7)/$I$7</f>
        <v>0.15763324299909665</v>
      </c>
      <c r="U11" s="14" t="e">
        <f>(#REF!-#REF!)/#REF!</f>
        <v>#REF!</v>
      </c>
      <c r="V11" s="13">
        <f>(I12-$I$7)/$I$7</f>
        <v>0.15763324299909665</v>
      </c>
    </row>
    <row r="12" spans="1:22" ht="15" customHeight="1" x14ac:dyDescent="0.2">
      <c r="F12" s="15" t="s">
        <v>24</v>
      </c>
      <c r="G12" s="50">
        <v>1146</v>
      </c>
      <c r="H12" s="15">
        <v>396</v>
      </c>
      <c r="I12" s="15">
        <v>5126</v>
      </c>
      <c r="J12" s="15">
        <v>1300.5575339572601</v>
      </c>
      <c r="K12" s="15">
        <v>390.6628744551092</v>
      </c>
      <c r="L12" s="26">
        <f>I12/J12</f>
        <v>3.9413865716520116</v>
      </c>
      <c r="M12" s="10">
        <f>I12/K12</f>
        <v>13.121287778240175</v>
      </c>
      <c r="N12" s="39">
        <f>J12/(J12+K12)</f>
        <v>0.7690053451862946</v>
      </c>
      <c r="O12" s="39">
        <f>K12/(K12+J12)</f>
        <v>0.23099465481370546</v>
      </c>
      <c r="P12" s="39" t="e">
        <f>#REF!/(#REF!+#REF!)</f>
        <v>#REF!</v>
      </c>
      <c r="R12" s="14">
        <f>(J13-$J$7)/$J$7</f>
        <v>-4.8936047969529925E-2</v>
      </c>
      <c r="S12" s="13">
        <f>(I13-$I$7)/$I$7</f>
        <v>0.17976513098464317</v>
      </c>
      <c r="U12" s="14" t="e">
        <f>(#REF!-#REF!)/#REF!</f>
        <v>#REF!</v>
      </c>
      <c r="V12" s="13">
        <f>(I13-$I$7)/$I$7</f>
        <v>0.17976513098464317</v>
      </c>
    </row>
    <row r="13" spans="1:22" ht="15" customHeight="1" x14ac:dyDescent="0.2">
      <c r="F13" s="15" t="s">
        <v>25</v>
      </c>
      <c r="G13" s="50">
        <v>1054</v>
      </c>
      <c r="H13" s="15">
        <v>393</v>
      </c>
      <c r="I13" s="15">
        <v>5224</v>
      </c>
      <c r="J13" s="15">
        <v>1292.3706381603961</v>
      </c>
      <c r="K13" s="15">
        <v>386.68314061920807</v>
      </c>
      <c r="L13" s="26">
        <f>I13/J13</f>
        <v>4.0421840652740437</v>
      </c>
      <c r="M13" s="10">
        <f>I13/K13</f>
        <v>13.509769243196489</v>
      </c>
      <c r="N13" s="39">
        <f>J13/(J13+K13)</f>
        <v>0.7697017537459323</v>
      </c>
      <c r="O13" s="39">
        <f>K13/(K13+J13)</f>
        <v>0.23029824625406761</v>
      </c>
      <c r="P13" s="39" t="e">
        <f>#REF!/(#REF!+#REF!)</f>
        <v>#REF!</v>
      </c>
      <c r="R13" s="14">
        <f>(J14-$J$7)/$J$7</f>
        <v>-5.2624694801403957E-2</v>
      </c>
      <c r="S13" s="13">
        <f>(I14-$I$7)/$I$7</f>
        <v>0.1933152664859982</v>
      </c>
      <c r="U13" s="14" t="e">
        <f>(#REF!-#REF!)/#REF!</f>
        <v>#REF!</v>
      </c>
      <c r="V13" s="13">
        <f>(I14-$I$7)/$I$7</f>
        <v>0.1933152664859982</v>
      </c>
    </row>
    <row r="14" spans="1:22" ht="15" customHeight="1" x14ac:dyDescent="0.2">
      <c r="F14" s="15" t="s">
        <v>26</v>
      </c>
      <c r="G14" s="50">
        <v>910</v>
      </c>
      <c r="H14" s="15">
        <v>251</v>
      </c>
      <c r="I14" s="15">
        <v>5284</v>
      </c>
      <c r="J14" s="15">
        <v>1287.3582529786427</v>
      </c>
      <c r="K14" s="15">
        <v>384.24656888294209</v>
      </c>
      <c r="L14" s="26">
        <f>I14/J14</f>
        <v>4.1045295571563498</v>
      </c>
      <c r="M14" s="10">
        <f>I14/K14</f>
        <v>13.751586683939218</v>
      </c>
      <c r="N14" s="39">
        <f>J14/(J14+K14)</f>
        <v>0.77013312963824465</v>
      </c>
      <c r="O14" s="39">
        <f>K14/(K14+J14)</f>
        <v>0.22986687036175538</v>
      </c>
      <c r="P14" s="39" t="e">
        <f>#REF!/(#REF!+#REF!)</f>
        <v>#REF!</v>
      </c>
      <c r="R14" s="14">
        <f>(J15-$J$7)/$J$7</f>
        <v>-5.8956871862787939E-2</v>
      </c>
      <c r="S14" s="13">
        <f>(I15-$I$7)/$I$7</f>
        <v>0.21657633242999097</v>
      </c>
      <c r="U14" s="14" t="e">
        <f>(#REF!-#REF!)/#REF!</f>
        <v>#REF!</v>
      </c>
      <c r="V14" s="13">
        <f>(I15-$I$7)/$I$7</f>
        <v>0.21657633242999097</v>
      </c>
    </row>
    <row r="15" spans="1:22" ht="15" customHeight="1" x14ac:dyDescent="0.2">
      <c r="F15" s="15" t="s">
        <v>27</v>
      </c>
      <c r="G15" s="50">
        <v>1303</v>
      </c>
      <c r="H15" s="15">
        <v>385</v>
      </c>
      <c r="I15" s="15">
        <v>5387</v>
      </c>
      <c r="J15" s="15">
        <v>1278.7536584166323</v>
      </c>
      <c r="K15" s="15">
        <v>380.06378740235215</v>
      </c>
      <c r="L15" s="26">
        <f>I15/J15</f>
        <v>4.212695670149829</v>
      </c>
      <c r="M15" s="10">
        <f>I15/K15</f>
        <v>14.17393653002012</v>
      </c>
      <c r="N15" s="39">
        <f>J15/(J15+K15)</f>
        <v>0.77088269214897931</v>
      </c>
      <c r="O15" s="39">
        <f>K15/(K15+J15)</f>
        <v>0.22911730785102072</v>
      </c>
      <c r="P15" s="39" t="e">
        <f>#REF!/(#REF!+#REF!)</f>
        <v>#REF!</v>
      </c>
      <c r="R15" s="14">
        <f>(J16-$J$7)/$J$7</f>
        <v>-7.0084289805608171E-2</v>
      </c>
      <c r="S15" s="13">
        <f>(I16-$I$7)/$I$7</f>
        <v>0.25745257452574527</v>
      </c>
      <c r="U15" s="14" t="e">
        <f>(#REF!-#REF!)/#REF!</f>
        <v>#REF!</v>
      </c>
      <c r="V15" s="13">
        <f>(I16-$I$7)/$I$7</f>
        <v>0.25745257452574527</v>
      </c>
    </row>
    <row r="16" spans="1:22" ht="15" customHeight="1" x14ac:dyDescent="0.2">
      <c r="F16" s="15" t="s">
        <v>28</v>
      </c>
      <c r="G16" s="50">
        <v>1299</v>
      </c>
      <c r="H16" s="15">
        <v>361</v>
      </c>
      <c r="I16" s="15">
        <v>5568</v>
      </c>
      <c r="J16" s="15">
        <v>1263.6329631183426</v>
      </c>
      <c r="K16" s="15">
        <v>372.71346266461649</v>
      </c>
      <c r="L16" s="26">
        <f>I16/J16</f>
        <v>4.4063427929732963</v>
      </c>
      <c r="M16" s="10">
        <f>I16/K16</f>
        <v>14.939090099383732</v>
      </c>
      <c r="N16" s="39">
        <f>J16/(J16+K16)</f>
        <v>0.7722282660981884</v>
      </c>
      <c r="O16" s="39">
        <f>K16/(K16+J16)</f>
        <v>0.22777173390181149</v>
      </c>
      <c r="P16" s="39" t="e">
        <f>#REF!/(#REF!+#REF!)</f>
        <v>#REF!</v>
      </c>
      <c r="R16" s="14">
        <f>(J17-$J$7)/$J$7</f>
        <v>-8.4285580108323377E-2</v>
      </c>
      <c r="S16" s="13">
        <f>(I17-$I$7)/$I$7</f>
        <v>0.30962059620596205</v>
      </c>
      <c r="U16" s="14" t="e">
        <f>(#REF!-#REF!)/#REF!</f>
        <v>#REF!</v>
      </c>
      <c r="V16" s="13">
        <f>(I17-$I$7)/$I$7</f>
        <v>0.30962059620596205</v>
      </c>
    </row>
    <row r="17" spans="1:22" ht="15" customHeight="1" x14ac:dyDescent="0.2">
      <c r="F17" s="15" t="s">
        <v>29</v>
      </c>
      <c r="G17" s="50">
        <v>1389</v>
      </c>
      <c r="H17" s="15">
        <v>443</v>
      </c>
      <c r="I17" s="15">
        <v>5799</v>
      </c>
      <c r="J17" s="15">
        <v>1244.3352801685917</v>
      </c>
      <c r="K17" s="15">
        <v>363.33266147999245</v>
      </c>
      <c r="L17" s="26">
        <f>I17/J17</f>
        <v>4.6603195235405597</v>
      </c>
      <c r="M17" s="10">
        <f>I17/K17</f>
        <v>15.960579972024707</v>
      </c>
      <c r="N17" s="39">
        <f>J17/(J17+K17)</f>
        <v>0.77400018245844182</v>
      </c>
      <c r="O17" s="39">
        <f>K17/(K17+J17)</f>
        <v>0.22599981754155821</v>
      </c>
      <c r="P17" s="39" t="e">
        <f>#REF!/(#REF!+#REF!)</f>
        <v>#REF!</v>
      </c>
      <c r="R17" s="14">
        <f>(J18-$J$7)/$J$7</f>
        <v>-9.467526868476879E-2</v>
      </c>
      <c r="S17" s="13">
        <f>(I18-$I$7)/$I$7</f>
        <v>0.34778681120144533</v>
      </c>
      <c r="U17" s="14" t="e">
        <f>(#REF!-#REF!)/#REF!</f>
        <v>#REF!</v>
      </c>
      <c r="V17" s="13">
        <f>(I18-$I$7)/$I$7</f>
        <v>0.34778681120144533</v>
      </c>
    </row>
    <row r="18" spans="1:22" ht="15" customHeight="1" x14ac:dyDescent="0.2">
      <c r="F18" s="16" t="s">
        <v>30</v>
      </c>
      <c r="G18" s="50">
        <v>1205</v>
      </c>
      <c r="H18" s="15">
        <v>342</v>
      </c>
      <c r="I18" s="16">
        <v>5968</v>
      </c>
      <c r="J18" s="15">
        <v>1230.2170619066526</v>
      </c>
      <c r="K18" s="15">
        <v>356.46965108950997</v>
      </c>
      <c r="L18" s="26">
        <f>I18/J18</f>
        <v>4.8511764182090698</v>
      </c>
      <c r="M18" s="10">
        <f>I18/K18</f>
        <v>16.74195820530435</v>
      </c>
      <c r="N18" s="39">
        <f>J18/(J18+K18)</f>
        <v>0.77533709196040135</v>
      </c>
      <c r="O18" s="39">
        <f>K18/(K18+J18)</f>
        <v>0.22466290803959868</v>
      </c>
      <c r="P18" s="39" t="e">
        <f>#REF!/(#REF!+#REF!)</f>
        <v>#REF!</v>
      </c>
      <c r="R18" s="14">
        <f>(J19-$J$7)/$J$7</f>
        <v>-0.10512643470841217</v>
      </c>
      <c r="S18" s="13">
        <f>(I19-$I$7)/$I$7</f>
        <v>0.38617886178861788</v>
      </c>
      <c r="U18" s="14" t="e">
        <f>(#REF!-#REF!)/#REF!</f>
        <v>#REF!</v>
      </c>
      <c r="V18" s="13">
        <f>(I19-$I$7)/$I$7</f>
        <v>0.38617886178861788</v>
      </c>
    </row>
    <row r="19" spans="1:22" ht="15" customHeight="1" x14ac:dyDescent="0.2">
      <c r="F19" s="66" t="s">
        <v>96</v>
      </c>
      <c r="G19" s="67">
        <v>1601</v>
      </c>
      <c r="H19" s="68">
        <v>446</v>
      </c>
      <c r="I19" s="68">
        <v>6138</v>
      </c>
      <c r="J19" s="68">
        <v>1216.0153038916842</v>
      </c>
      <c r="K19" s="68">
        <v>349.56603117008967</v>
      </c>
      <c r="L19" s="26">
        <f>I19/J19</f>
        <v>5.0476338417421251</v>
      </c>
      <c r="M19" s="10">
        <f>I19/K19</f>
        <v>17.558914347182121</v>
      </c>
      <c r="N19" s="39">
        <f>J19/(J19+K19)</f>
        <v>0.77671806418393674</v>
      </c>
      <c r="O19" s="39">
        <f>K19/(K19+J19)</f>
        <v>0.22328193581606329</v>
      </c>
      <c r="P19" s="39" t="e">
        <f>#REF!/(#REF!+#REF!)</f>
        <v>#REF!</v>
      </c>
      <c r="R19" s="14">
        <f>(J20-$J$7)/$J$7</f>
        <v>-0.10955281090666101</v>
      </c>
      <c r="S19" s="13">
        <f>(I20-$I$7)/$I$7</f>
        <v>0.40243902439024393</v>
      </c>
      <c r="U19" s="14" t="e">
        <f>(#REF!-#REF!)/#REF!</f>
        <v>#REF!</v>
      </c>
      <c r="V19" s="13">
        <f>(I20-$I$7)/$I$7</f>
        <v>0.40243902439024393</v>
      </c>
    </row>
    <row r="20" spans="1:22" ht="15" customHeight="1" thickBot="1" x14ac:dyDescent="0.25">
      <c r="F20" s="66" t="s">
        <v>97</v>
      </c>
      <c r="G20" s="67">
        <v>1119</v>
      </c>
      <c r="H20" s="68">
        <v>279</v>
      </c>
      <c r="I20" s="68">
        <v>6210</v>
      </c>
      <c r="J20" s="68">
        <v>1210.0004416735801</v>
      </c>
      <c r="K20" s="68">
        <v>346.64214508657051</v>
      </c>
      <c r="L20" s="26">
        <f>I20/J20</f>
        <v>5.1322295315948834</v>
      </c>
      <c r="M20" s="10">
        <f>I20/K20</f>
        <v>17.914728742660859</v>
      </c>
      <c r="N20" s="39">
        <f>J20/(J20+K20)</f>
        <v>0.7773142351141511</v>
      </c>
      <c r="O20" s="39">
        <f>K20/(K20+J20)</f>
        <v>0.22268576488584887</v>
      </c>
      <c r="P20" s="39" t="e">
        <f>#REF!/(#REF!+#REF!)</f>
        <v>#REF!</v>
      </c>
      <c r="R20" s="14"/>
      <c r="S20" s="13"/>
      <c r="U20" s="14" t="e">
        <f>(#REF!-#REF!)/#REF!</f>
        <v>#REF!</v>
      </c>
      <c r="V20" s="13" t="e">
        <f>(#REF!-$I$7)/$I$7</f>
        <v>#REF!</v>
      </c>
    </row>
    <row r="21" spans="1:22" ht="15" customHeight="1" thickBot="1" x14ac:dyDescent="0.25">
      <c r="F21" s="17" t="s">
        <v>63</v>
      </c>
      <c r="G21" s="28"/>
      <c r="H21" s="28"/>
      <c r="I21" s="29">
        <v>6000</v>
      </c>
      <c r="J21" s="29">
        <f>I21*$J$3+$K$3</f>
        <v>1227.5437898097173</v>
      </c>
      <c r="K21" s="29">
        <f>I21*$J$4+$K$4</f>
        <v>355.1701461635015</v>
      </c>
      <c r="L21" s="38">
        <f>I21/J21</f>
        <v>4.8878093391112882</v>
      </c>
      <c r="M21" s="10">
        <f>I21/K21</f>
        <v>16.893311740333935</v>
      </c>
      <c r="N21" s="39">
        <f>J21/(J21+K21)</f>
        <v>0.77559422578464532</v>
      </c>
      <c r="O21" s="39">
        <f>K21/(K21+J21)</f>
        <v>0.22440577421535474</v>
      </c>
      <c r="P21" s="39" t="e">
        <f>#REF!/(#REF!+#REF!)</f>
        <v>#REF!</v>
      </c>
    </row>
    <row r="22" spans="1:22" ht="15" customHeight="1" x14ac:dyDescent="0.2">
      <c r="I22" s="2"/>
    </row>
    <row r="23" spans="1:22" ht="16" thickBot="1" x14ac:dyDescent="0.25">
      <c r="A23" s="31"/>
      <c r="B23" s="31"/>
      <c r="C23" s="31"/>
      <c r="D23" s="31"/>
    </row>
    <row r="24" spans="1:22" ht="15" customHeight="1" thickBot="1" x14ac:dyDescent="0.25">
      <c r="A24" s="31"/>
      <c r="B24" s="31"/>
      <c r="C24" s="31"/>
      <c r="D24" s="31"/>
      <c r="F24" s="53" t="s">
        <v>2</v>
      </c>
      <c r="G24" s="54"/>
      <c r="H24" s="54"/>
      <c r="I24" s="54"/>
      <c r="J24" s="55"/>
    </row>
    <row r="25" spans="1:22" ht="15" customHeight="1" thickBot="1" x14ac:dyDescent="0.25">
      <c r="A25" s="31"/>
      <c r="B25" s="31"/>
      <c r="C25" s="31"/>
      <c r="D25" s="31"/>
      <c r="G25" t="s">
        <v>60</v>
      </c>
      <c r="H25" cm="1">
        <f t="array" ref="H25:I25">LINEST(I28:I43,H28:H43)</f>
        <v>0.30615363237875776</v>
      </c>
      <c r="I25">
        <v>326.97467475050303</v>
      </c>
    </row>
    <row r="26" spans="1:22" ht="15" customHeight="1" thickBot="1" x14ac:dyDescent="0.25">
      <c r="A26" s="35" t="s">
        <v>59</v>
      </c>
      <c r="B26" s="31"/>
      <c r="C26" s="31"/>
      <c r="D26" s="31"/>
      <c r="F26" s="62" t="s">
        <v>48</v>
      </c>
      <c r="G26" s="63"/>
      <c r="H26" s="64"/>
      <c r="I26" s="59" t="s">
        <v>49</v>
      </c>
      <c r="J26" s="61"/>
    </row>
    <row r="27" spans="1:22" ht="15" customHeight="1" x14ac:dyDescent="0.2">
      <c r="A27" s="30" t="s">
        <v>40</v>
      </c>
      <c r="B27" s="15">
        <v>8</v>
      </c>
      <c r="C27" s="31"/>
      <c r="D27" s="31"/>
      <c r="F27" s="18" t="s">
        <v>0</v>
      </c>
      <c r="G27" s="19" t="s">
        <v>52</v>
      </c>
      <c r="H27" s="18" t="s">
        <v>3</v>
      </c>
      <c r="I27" s="19" t="s">
        <v>47</v>
      </c>
      <c r="J27" s="19" t="s">
        <v>51</v>
      </c>
    </row>
    <row r="28" spans="1:22" ht="15" customHeight="1" x14ac:dyDescent="0.2">
      <c r="A28" s="48" t="s">
        <v>78</v>
      </c>
      <c r="B28" s="49">
        <v>25</v>
      </c>
      <c r="C28" s="31"/>
      <c r="D28" s="31"/>
      <c r="F28" s="15" t="s">
        <v>88</v>
      </c>
      <c r="G28" s="20">
        <v>318.50318471337579</v>
      </c>
      <c r="H28" s="20">
        <v>2955</v>
      </c>
      <c r="I28" s="20" cm="1">
        <f t="array" ref="I28:I44">TREND(G28:G44,H28:H44)</f>
        <v>1231.6586584297324</v>
      </c>
      <c r="J28" s="20">
        <f t="shared" ref="J28:J33" si="0">H28/I28</f>
        <v>2.3992036915222856</v>
      </c>
    </row>
    <row r="29" spans="1:22" ht="15" customHeight="1" x14ac:dyDescent="0.2">
      <c r="A29" s="30" t="s">
        <v>72</v>
      </c>
      <c r="B29" s="15">
        <v>7</v>
      </c>
      <c r="C29" s="31"/>
      <c r="D29" s="31"/>
      <c r="F29" s="15" t="s">
        <v>89</v>
      </c>
      <c r="G29" s="20">
        <v>742.77248677248667</v>
      </c>
      <c r="H29" s="20">
        <v>2935</v>
      </c>
      <c r="I29" s="20">
        <v>1225.5355857821571</v>
      </c>
      <c r="J29" s="20">
        <f t="shared" si="0"/>
        <v>2.3948712987610508</v>
      </c>
    </row>
    <row r="30" spans="1:22" ht="15" customHeight="1" x14ac:dyDescent="0.2">
      <c r="A30" s="30" t="s">
        <v>73</v>
      </c>
      <c r="B30" s="15">
        <v>10</v>
      </c>
      <c r="C30" s="31"/>
      <c r="D30" s="31"/>
      <c r="F30" s="15" t="s">
        <v>90</v>
      </c>
      <c r="G30" s="20">
        <v>1196.2591943957971</v>
      </c>
      <c r="H30" s="20">
        <v>2812</v>
      </c>
      <c r="I30" s="20">
        <v>1187.8786889995699</v>
      </c>
      <c r="J30" s="20">
        <f t="shared" si="0"/>
        <v>2.3672450950090393</v>
      </c>
      <c r="P30">
        <f>N30*L30</f>
        <v>0</v>
      </c>
    </row>
    <row r="31" spans="1:22" ht="15" customHeight="1" x14ac:dyDescent="0.2">
      <c r="A31" s="34" t="s">
        <v>61</v>
      </c>
      <c r="B31" s="34">
        <v>1600</v>
      </c>
      <c r="C31" s="31"/>
      <c r="D31" s="31"/>
      <c r="F31" s="15" t="s">
        <v>91</v>
      </c>
      <c r="G31" s="20">
        <v>1463.7258064516129</v>
      </c>
      <c r="H31" s="20">
        <v>2654</v>
      </c>
      <c r="I31" s="20">
        <v>1139.5064150837261</v>
      </c>
      <c r="J31" s="20">
        <f t="shared" si="0"/>
        <v>2.3290785947922861</v>
      </c>
    </row>
    <row r="32" spans="1:22" ht="15" customHeight="1" x14ac:dyDescent="0.2">
      <c r="A32" s="31"/>
      <c r="B32" s="31"/>
      <c r="C32" s="31"/>
      <c r="D32" s="31"/>
      <c r="F32" s="15" t="s">
        <v>92</v>
      </c>
      <c r="G32" s="20">
        <v>2196.5522193211491</v>
      </c>
      <c r="H32" s="20">
        <v>2413</v>
      </c>
      <c r="I32" s="20">
        <v>1065.7233896804455</v>
      </c>
      <c r="J32" s="20">
        <f t="shared" si="0"/>
        <v>2.2641897732239245</v>
      </c>
    </row>
    <row r="33" spans="1:10" ht="15" customHeight="1" x14ac:dyDescent="0.2">
      <c r="A33" s="32" t="s">
        <v>35</v>
      </c>
      <c r="B33" s="36"/>
      <c r="C33" s="31"/>
      <c r="D33" s="31"/>
      <c r="F33" s="15" t="s">
        <v>93</v>
      </c>
      <c r="G33" s="20">
        <v>1528.943907156673</v>
      </c>
      <c r="H33" s="20">
        <v>2140</v>
      </c>
      <c r="I33" s="20">
        <v>982.14344804104473</v>
      </c>
      <c r="J33" s="20">
        <f t="shared" si="0"/>
        <v>2.1789077799871119</v>
      </c>
    </row>
    <row r="34" spans="1:10" ht="15" customHeight="1" x14ac:dyDescent="0.2">
      <c r="A34" s="33" t="s">
        <v>36</v>
      </c>
      <c r="B34" s="34" t="s">
        <v>38</v>
      </c>
      <c r="C34" s="34" t="s">
        <v>57</v>
      </c>
      <c r="D34" s="34" t="s">
        <v>58</v>
      </c>
      <c r="F34" s="20" t="s">
        <v>8</v>
      </c>
      <c r="G34" s="20">
        <v>1451.2265625</v>
      </c>
      <c r="H34" s="20">
        <v>1883</v>
      </c>
      <c r="I34" s="20">
        <v>903.461964519704</v>
      </c>
      <c r="J34" s="20">
        <f t="shared" ref="J34:J44" si="1">H34/I34</f>
        <v>2.0842050622474577</v>
      </c>
    </row>
    <row r="35" spans="1:10" ht="15" customHeight="1" x14ac:dyDescent="0.2">
      <c r="A35" s="30" t="s">
        <v>55</v>
      </c>
      <c r="B35" s="15">
        <v>6000</v>
      </c>
      <c r="C35" s="15" t="s">
        <v>64</v>
      </c>
      <c r="D35" s="15" t="s">
        <v>64</v>
      </c>
      <c r="F35" s="20" t="s">
        <v>9</v>
      </c>
      <c r="G35" s="20">
        <v>917.72786177105831</v>
      </c>
      <c r="H35" s="20">
        <v>1796</v>
      </c>
      <c r="I35" s="20">
        <v>876.82659850275206</v>
      </c>
      <c r="J35" s="20">
        <f t="shared" si="1"/>
        <v>2.0482955273788526</v>
      </c>
    </row>
    <row r="36" spans="1:10" ht="15" customHeight="1" x14ac:dyDescent="0.2">
      <c r="A36" s="30" t="s">
        <v>65</v>
      </c>
      <c r="B36" s="26" t="e">
        <f>#REF!/22</f>
        <v>#REF!</v>
      </c>
      <c r="C36" s="26">
        <v>10</v>
      </c>
      <c r="D36" s="26">
        <v>10</v>
      </c>
      <c r="F36" s="20" t="s">
        <v>10</v>
      </c>
      <c r="G36" s="20">
        <v>936.48648648648646</v>
      </c>
      <c r="H36" s="20">
        <v>1688</v>
      </c>
      <c r="I36" s="20">
        <v>843.76200620584621</v>
      </c>
      <c r="J36" s="20">
        <f t="shared" si="1"/>
        <v>2.0005641254107283</v>
      </c>
    </row>
    <row r="37" spans="1:10" ht="15" customHeight="1" x14ac:dyDescent="0.2">
      <c r="A37" s="30" t="s">
        <v>71</v>
      </c>
      <c r="B37" s="26" t="e">
        <f>#REF!/22</f>
        <v>#REF!</v>
      </c>
      <c r="C37" s="40"/>
      <c r="D37" s="40"/>
      <c r="F37" s="20" t="s">
        <v>11</v>
      </c>
      <c r="G37" s="20">
        <v>696.53456221198167</v>
      </c>
      <c r="H37" s="20">
        <v>1580</v>
      </c>
      <c r="I37" s="20">
        <v>810.69741390894046</v>
      </c>
      <c r="J37" s="20">
        <f t="shared" si="1"/>
        <v>1.9489392378615253</v>
      </c>
    </row>
    <row r="38" spans="1:10" ht="15" customHeight="1" x14ac:dyDescent="0.2">
      <c r="A38" s="30" t="s">
        <v>76</v>
      </c>
      <c r="B38" s="26" t="e">
        <f>((B36*B29)+(B37*B30)) / (B36+B37)</f>
        <v>#REF!</v>
      </c>
      <c r="C38" s="40"/>
      <c r="D38" s="40"/>
      <c r="F38" s="20" t="s">
        <v>12</v>
      </c>
      <c r="G38" s="20">
        <v>537.0545454545454</v>
      </c>
      <c r="H38" s="20">
        <v>1486</v>
      </c>
      <c r="I38" s="20">
        <v>781.91897246533722</v>
      </c>
      <c r="J38" s="20">
        <f t="shared" si="1"/>
        <v>1.9004526713487246</v>
      </c>
    </row>
    <row r="39" spans="1:10" ht="15" customHeight="1" x14ac:dyDescent="0.2">
      <c r="A39" s="30" t="s">
        <v>77</v>
      </c>
      <c r="B39" s="26" t="e">
        <f>(B36+B37)/8</f>
        <v>#REF!</v>
      </c>
      <c r="C39" s="26">
        <f>C36/8</f>
        <v>1.25</v>
      </c>
      <c r="D39" s="26">
        <f>D36/8</f>
        <v>1.25</v>
      </c>
      <c r="F39" s="20" t="s">
        <v>13</v>
      </c>
      <c r="G39" s="20">
        <v>560.25</v>
      </c>
      <c r="H39" s="20">
        <v>1459</v>
      </c>
      <c r="I39" s="20">
        <v>773.6528243911107</v>
      </c>
      <c r="J39" s="20">
        <f t="shared" si="1"/>
        <v>1.8858588167738923</v>
      </c>
    </row>
    <row r="40" spans="1:10" ht="15" customHeight="1" thickBot="1" x14ac:dyDescent="0.25">
      <c r="A40" s="37" t="s">
        <v>95</v>
      </c>
      <c r="B40" s="27" t="e">
        <f>B39*B27</f>
        <v>#REF!</v>
      </c>
      <c r="C40" s="27">
        <v>10</v>
      </c>
      <c r="D40" s="27">
        <v>10</v>
      </c>
      <c r="F40" s="20" t="s">
        <v>14</v>
      </c>
      <c r="G40" s="20">
        <v>412.59607843137252</v>
      </c>
      <c r="H40" s="20">
        <v>1401</v>
      </c>
      <c r="I40" s="20">
        <v>755.89591371314282</v>
      </c>
      <c r="J40" s="20">
        <f t="shared" si="1"/>
        <v>1.8534297838943863</v>
      </c>
    </row>
    <row r="41" spans="1:10" ht="15" customHeight="1" thickBot="1" x14ac:dyDescent="0.25">
      <c r="A41" s="44" t="s">
        <v>50</v>
      </c>
      <c r="B41" s="45" t="e">
        <f>SUM(B40:D40)</f>
        <v>#REF!</v>
      </c>
      <c r="C41" s="46"/>
      <c r="D41" s="47"/>
      <c r="F41" s="20" t="s">
        <v>15</v>
      </c>
      <c r="G41" s="20">
        <v>478.07061068702291</v>
      </c>
      <c r="H41" s="20">
        <v>1385</v>
      </c>
      <c r="I41" s="20">
        <v>750.99745559508256</v>
      </c>
      <c r="J41" s="20">
        <f t="shared" si="1"/>
        <v>1.8442139712744305</v>
      </c>
    </row>
    <row r="42" spans="1:10" ht="15" customHeight="1" x14ac:dyDescent="0.2">
      <c r="F42" s="20" t="s">
        <v>16</v>
      </c>
      <c r="G42" s="20">
        <v>576.05371900826447</v>
      </c>
      <c r="H42" s="20">
        <v>1269</v>
      </c>
      <c r="I42" s="20">
        <v>715.4836342391468</v>
      </c>
      <c r="J42" s="20">
        <f t="shared" si="1"/>
        <v>1.7736254741164956</v>
      </c>
    </row>
    <row r="43" spans="1:10" ht="15" customHeight="1" x14ac:dyDescent="0.2">
      <c r="F43" s="20" t="s">
        <v>17</v>
      </c>
      <c r="G43" s="20">
        <v>401.41601779755291</v>
      </c>
      <c r="H43" s="20">
        <v>1056</v>
      </c>
      <c r="I43" s="20">
        <v>650.27291054247132</v>
      </c>
      <c r="J43" s="20">
        <f t="shared" si="1"/>
        <v>1.623933556018907</v>
      </c>
    </row>
    <row r="44" spans="1:10" ht="15" customHeight="1" x14ac:dyDescent="0.2">
      <c r="A44" s="15" t="s">
        <v>79</v>
      </c>
      <c r="B44" s="34">
        <v>4</v>
      </c>
      <c r="F44" s="20" t="s">
        <v>18</v>
      </c>
      <c r="G44" s="20">
        <v>853.44637122671804</v>
      </c>
      <c r="H44" s="20">
        <v>801</v>
      </c>
      <c r="I44" s="20">
        <v>572.20373428588812</v>
      </c>
      <c r="J44" s="20">
        <f t="shared" si="1"/>
        <v>1.3998510530513233</v>
      </c>
    </row>
    <row r="45" spans="1:10" ht="15" customHeight="1" x14ac:dyDescent="0.2">
      <c r="A45" s="15" t="s">
        <v>80</v>
      </c>
      <c r="B45" s="34">
        <v>5</v>
      </c>
      <c r="F45" s="20" t="s">
        <v>19</v>
      </c>
      <c r="G45" s="20">
        <v>987.75473599999998</v>
      </c>
      <c r="H45" s="20">
        <v>700</v>
      </c>
      <c r="I45" s="20">
        <f>H45*$H$25+$I$25</f>
        <v>541.28221741563345</v>
      </c>
      <c r="J45" s="20">
        <f>AVERAGE(J34:J44)</f>
        <v>1.851215389034248</v>
      </c>
    </row>
    <row r="46" spans="1:10" ht="15" customHeight="1" x14ac:dyDescent="0.2">
      <c r="A46" s="16" t="s">
        <v>81</v>
      </c>
      <c r="B46" s="41">
        <v>1</v>
      </c>
      <c r="F46" s="20" t="s">
        <v>20</v>
      </c>
      <c r="G46" s="56" t="s">
        <v>82</v>
      </c>
      <c r="H46" s="20">
        <v>600</v>
      </c>
      <c r="I46" s="20">
        <f t="shared" ref="I46:I57" si="2">H46*$H$25+$I$25</f>
        <v>510.66685417775767</v>
      </c>
      <c r="J46" s="20">
        <f t="shared" ref="J46:J57" si="3">AVERAGE(J35:J45)</f>
        <v>1.8300345096512289</v>
      </c>
    </row>
    <row r="47" spans="1:10" ht="15" customHeight="1" thickBot="1" x14ac:dyDescent="0.25">
      <c r="A47" s="15" t="s">
        <v>94</v>
      </c>
      <c r="B47" s="15">
        <v>1</v>
      </c>
      <c r="F47" s="20" t="s">
        <v>21</v>
      </c>
      <c r="G47" s="57"/>
      <c r="H47" s="20">
        <v>500</v>
      </c>
      <c r="I47" s="20">
        <f t="shared" si="2"/>
        <v>480.05149093988189</v>
      </c>
      <c r="J47" s="20">
        <f t="shared" si="3"/>
        <v>1.8101925989487171</v>
      </c>
    </row>
    <row r="48" spans="1:10" ht="15" customHeight="1" thickBot="1" x14ac:dyDescent="0.25">
      <c r="A48" s="42" t="s">
        <v>83</v>
      </c>
      <c r="B48" s="43">
        <f>SUM(B45:B47)</f>
        <v>7</v>
      </c>
      <c r="F48" s="20" t="s">
        <v>22</v>
      </c>
      <c r="G48" s="57"/>
      <c r="H48" s="20">
        <v>400</v>
      </c>
      <c r="I48" s="20">
        <f t="shared" si="2"/>
        <v>449.43612770200616</v>
      </c>
      <c r="J48" s="20">
        <f t="shared" si="3"/>
        <v>1.79288609654308</v>
      </c>
    </row>
    <row r="49" spans="6:10" ht="15" customHeight="1" x14ac:dyDescent="0.2">
      <c r="F49" s="20" t="s">
        <v>23</v>
      </c>
      <c r="G49" s="57"/>
      <c r="H49" s="20">
        <v>400</v>
      </c>
      <c r="I49" s="20">
        <f t="shared" si="2"/>
        <v>449.43612770200616</v>
      </c>
      <c r="J49" s="20">
        <f t="shared" si="3"/>
        <v>1.7786994473323121</v>
      </c>
    </row>
    <row r="50" spans="6:10" ht="15" customHeight="1" x14ac:dyDescent="0.2">
      <c r="F50" s="20" t="s">
        <v>24</v>
      </c>
      <c r="G50" s="57"/>
      <c r="H50" s="20">
        <v>400</v>
      </c>
      <c r="I50" s="20">
        <f t="shared" si="2"/>
        <v>449.43612770200616</v>
      </c>
      <c r="J50" s="20">
        <f t="shared" si="3"/>
        <v>1.7676309724217292</v>
      </c>
    </row>
    <row r="51" spans="6:10" ht="15" customHeight="1" x14ac:dyDescent="0.2">
      <c r="F51" s="20" t="s">
        <v>25</v>
      </c>
      <c r="G51" s="57"/>
      <c r="H51" s="20">
        <v>400</v>
      </c>
      <c r="I51" s="20">
        <f t="shared" si="2"/>
        <v>449.43612770200616</v>
      </c>
      <c r="J51" s="20">
        <f t="shared" si="3"/>
        <v>1.7568829865715323</v>
      </c>
    </row>
    <row r="52" spans="6:10" ht="15" customHeight="1" x14ac:dyDescent="0.2">
      <c r="F52" s="20" t="s">
        <v>26</v>
      </c>
      <c r="G52" s="57"/>
      <c r="H52" s="20">
        <v>400</v>
      </c>
      <c r="I52" s="20">
        <f t="shared" si="2"/>
        <v>449.43612770200616</v>
      </c>
      <c r="J52" s="20">
        <f t="shared" si="3"/>
        <v>1.7481060049967276</v>
      </c>
    </row>
    <row r="53" spans="6:10" ht="15" customHeight="1" x14ac:dyDescent="0.2">
      <c r="F53" s="20" t="s">
        <v>27</v>
      </c>
      <c r="G53" s="57"/>
      <c r="H53" s="20">
        <v>400</v>
      </c>
      <c r="I53" s="20">
        <f t="shared" si="2"/>
        <v>449.43612770200616</v>
      </c>
      <c r="J53" s="20">
        <f t="shared" si="3"/>
        <v>1.7393689171533</v>
      </c>
    </row>
    <row r="54" spans="6:10" ht="15" customHeight="1" x14ac:dyDescent="0.2">
      <c r="F54" s="20" t="s">
        <v>28</v>
      </c>
      <c r="G54" s="57"/>
      <c r="H54" s="20">
        <v>400</v>
      </c>
      <c r="I54" s="20">
        <f t="shared" si="2"/>
        <v>449.43612770200616</v>
      </c>
      <c r="J54" s="20">
        <f t="shared" si="3"/>
        <v>1.7362546847021003</v>
      </c>
    </row>
    <row r="55" spans="6:10" ht="15" customHeight="1" x14ac:dyDescent="0.2">
      <c r="F55" s="20" t="s">
        <v>29</v>
      </c>
      <c r="G55" s="57"/>
      <c r="H55" s="20">
        <v>400</v>
      </c>
      <c r="I55" s="20">
        <f t="shared" si="2"/>
        <v>449.43612770200616</v>
      </c>
      <c r="J55" s="20">
        <f t="shared" si="3"/>
        <v>1.7464656964005731</v>
      </c>
    </row>
    <row r="56" spans="6:10" ht="15" customHeight="1" thickBot="1" x14ac:dyDescent="0.25">
      <c r="F56" s="21" t="s">
        <v>30</v>
      </c>
      <c r="G56" s="58"/>
      <c r="H56" s="21">
        <v>400</v>
      </c>
      <c r="I56" s="20">
        <f t="shared" si="2"/>
        <v>449.43612770200616</v>
      </c>
      <c r="J56" s="20">
        <f t="shared" si="3"/>
        <v>1.7779761185232319</v>
      </c>
    </row>
    <row r="57" spans="6:10" ht="15" customHeight="1" thickBot="1" x14ac:dyDescent="0.25">
      <c r="F57" s="22" t="s">
        <v>50</v>
      </c>
      <c r="G57" s="23"/>
      <c r="H57" s="23">
        <v>400</v>
      </c>
      <c r="I57" s="23">
        <f t="shared" si="2"/>
        <v>449.43612770200616</v>
      </c>
      <c r="J57" s="23">
        <f t="shared" si="3"/>
        <v>1.7713180030222302</v>
      </c>
    </row>
  </sheetData>
  <mergeCells count="9">
    <mergeCell ref="U5:V5"/>
    <mergeCell ref="F2:O2"/>
    <mergeCell ref="G46:G56"/>
    <mergeCell ref="R5:S5"/>
    <mergeCell ref="J5:O5"/>
    <mergeCell ref="F24:J24"/>
    <mergeCell ref="I26:J26"/>
    <mergeCell ref="F26:H26"/>
    <mergeCell ref="F5:I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2D73-4C1B-E848-BD20-6A0DDF35D706}">
  <dimension ref="D4:L46"/>
  <sheetViews>
    <sheetView zoomScale="120" zoomScaleNormal="120" workbookViewId="0">
      <selection activeCell="K5" sqref="K5:K21"/>
    </sheetView>
  </sheetViews>
  <sheetFormatPr baseColWidth="10" defaultRowHeight="15" x14ac:dyDescent="0.2"/>
  <cols>
    <col min="4" max="4" width="7.6640625" bestFit="1" customWidth="1"/>
    <col min="5" max="5" width="12.1640625" bestFit="1" customWidth="1"/>
    <col min="6" max="6" width="4.83203125" bestFit="1" customWidth="1"/>
    <col min="7" max="7" width="7.5" bestFit="1" customWidth="1"/>
    <col min="8" max="8" width="23.33203125" bestFit="1" customWidth="1"/>
    <col min="9" max="9" width="21.1640625" bestFit="1" customWidth="1"/>
    <col min="10" max="11" width="12.1640625" bestFit="1" customWidth="1"/>
  </cols>
  <sheetData>
    <row r="4" spans="4:12" x14ac:dyDescent="0.2">
      <c r="D4" s="1" t="s">
        <v>0</v>
      </c>
      <c r="E4" s="1" t="s">
        <v>1</v>
      </c>
      <c r="F4" s="1" t="s">
        <v>2</v>
      </c>
      <c r="G4" s="1" t="s">
        <v>85</v>
      </c>
      <c r="H4" s="1" t="s">
        <v>4</v>
      </c>
      <c r="I4" s="1" t="s">
        <v>5</v>
      </c>
      <c r="J4" s="1" t="s">
        <v>86</v>
      </c>
      <c r="K4" s="1" t="s">
        <v>87</v>
      </c>
    </row>
    <row r="5" spans="4:12" x14ac:dyDescent="0.2">
      <c r="D5" s="1" t="s">
        <v>88</v>
      </c>
      <c r="E5">
        <v>20</v>
      </c>
      <c r="F5">
        <v>137</v>
      </c>
      <c r="G5">
        <v>208</v>
      </c>
      <c r="H5">
        <v>0.12738853503184711</v>
      </c>
      <c r="I5">
        <v>0.87261146496815289</v>
      </c>
      <c r="J5">
        <v>46.496815286624212</v>
      </c>
      <c r="K5">
        <v>318.50318471337579</v>
      </c>
    </row>
    <row r="6" spans="4:12" x14ac:dyDescent="0.2">
      <c r="D6" s="1" t="s">
        <v>89</v>
      </c>
      <c r="E6">
        <v>50</v>
      </c>
      <c r="F6">
        <v>328</v>
      </c>
      <c r="G6">
        <v>478</v>
      </c>
      <c r="H6">
        <v>0.1322751322751323</v>
      </c>
      <c r="I6">
        <v>0.86772486772486768</v>
      </c>
      <c r="J6">
        <v>113.2275132275132</v>
      </c>
      <c r="K6">
        <v>742.77248677248667</v>
      </c>
    </row>
    <row r="7" spans="4:12" x14ac:dyDescent="0.2">
      <c r="D7" s="1" t="s">
        <v>90</v>
      </c>
      <c r="E7">
        <v>94</v>
      </c>
      <c r="F7">
        <v>477</v>
      </c>
      <c r="G7">
        <v>861</v>
      </c>
      <c r="H7">
        <v>0.16462346760070051</v>
      </c>
      <c r="I7">
        <v>0.83537653239929943</v>
      </c>
      <c r="J7">
        <v>235.7408056042031</v>
      </c>
      <c r="K7">
        <v>1196.2591943957971</v>
      </c>
    </row>
    <row r="8" spans="4:12" x14ac:dyDescent="0.2">
      <c r="D8" s="1" t="s">
        <v>91</v>
      </c>
      <c r="E8">
        <v>140</v>
      </c>
      <c r="F8">
        <v>604</v>
      </c>
      <c r="G8">
        <v>1059</v>
      </c>
      <c r="H8">
        <v>0.18817204301075269</v>
      </c>
      <c r="I8">
        <v>0.81182795698924726</v>
      </c>
      <c r="J8">
        <v>339.27419354838707</v>
      </c>
      <c r="K8">
        <v>1463.7258064516129</v>
      </c>
    </row>
    <row r="9" spans="4:12" x14ac:dyDescent="0.2">
      <c r="D9" s="1" t="s">
        <v>92</v>
      </c>
      <c r="E9">
        <v>149</v>
      </c>
      <c r="F9">
        <v>617</v>
      </c>
      <c r="G9">
        <v>1961</v>
      </c>
      <c r="H9">
        <v>0.1945169712793734</v>
      </c>
      <c r="I9">
        <v>0.8054830287206266</v>
      </c>
      <c r="J9">
        <v>530.44778067885113</v>
      </c>
      <c r="K9">
        <v>2196.5522193211491</v>
      </c>
    </row>
    <row r="10" spans="4:12" x14ac:dyDescent="0.2">
      <c r="D10" s="1" t="s">
        <v>93</v>
      </c>
      <c r="E10">
        <v>149</v>
      </c>
      <c r="F10">
        <v>368</v>
      </c>
      <c r="G10">
        <v>1631</v>
      </c>
      <c r="H10">
        <v>0.28820116054158612</v>
      </c>
      <c r="I10">
        <v>0.71179883945841393</v>
      </c>
      <c r="J10">
        <v>619.05609284332695</v>
      </c>
      <c r="K10">
        <v>1528.943907156673</v>
      </c>
      <c r="L10" s="15">
        <v>491.67752442996743</v>
      </c>
    </row>
    <row r="11" spans="4:12" x14ac:dyDescent="0.2">
      <c r="D11" s="1" t="s">
        <v>8</v>
      </c>
      <c r="E11">
        <v>211</v>
      </c>
      <c r="F11">
        <v>429</v>
      </c>
      <c r="G11">
        <v>1525</v>
      </c>
      <c r="H11">
        <v>0.32968750000000002</v>
      </c>
      <c r="I11">
        <v>0.67031249999999998</v>
      </c>
      <c r="J11">
        <v>713.7734375</v>
      </c>
      <c r="K11">
        <v>1451.2265625</v>
      </c>
      <c r="L11" s="15">
        <v>522.55384615384617</v>
      </c>
    </row>
    <row r="12" spans="4:12" x14ac:dyDescent="0.2">
      <c r="D12" s="1" t="s">
        <v>9</v>
      </c>
      <c r="E12">
        <v>144</v>
      </c>
      <c r="F12">
        <v>319</v>
      </c>
      <c r="G12">
        <v>869</v>
      </c>
      <c r="H12">
        <v>0.31101511879049681</v>
      </c>
      <c r="I12">
        <v>0.68898488120950319</v>
      </c>
      <c r="J12">
        <v>414.27213822894169</v>
      </c>
      <c r="K12">
        <v>917.72786177105831</v>
      </c>
      <c r="L12" s="15">
        <v>571.10423452768737</v>
      </c>
    </row>
    <row r="13" spans="4:12" x14ac:dyDescent="0.2">
      <c r="D13" s="1" t="s">
        <v>10</v>
      </c>
      <c r="E13">
        <v>204</v>
      </c>
      <c r="F13">
        <v>425</v>
      </c>
      <c r="G13">
        <v>757</v>
      </c>
      <c r="H13">
        <v>0.32432432432432429</v>
      </c>
      <c r="I13">
        <v>0.67567567567567566</v>
      </c>
      <c r="J13">
        <v>449.51351351351349</v>
      </c>
      <c r="K13">
        <v>936.48648648648646</v>
      </c>
      <c r="L13" s="15">
        <v>687.46390658174096</v>
      </c>
    </row>
    <row r="14" spans="4:12" x14ac:dyDescent="0.2">
      <c r="D14" s="1" t="s">
        <v>11</v>
      </c>
      <c r="E14">
        <v>202</v>
      </c>
      <c r="F14">
        <v>232</v>
      </c>
      <c r="G14">
        <v>869</v>
      </c>
      <c r="H14">
        <v>0.46543778801843322</v>
      </c>
      <c r="I14">
        <v>0.53456221198156684</v>
      </c>
      <c r="J14">
        <v>606.46543778801833</v>
      </c>
      <c r="K14">
        <v>696.53456221198167</v>
      </c>
      <c r="L14" s="15">
        <v>659.87301587301579</v>
      </c>
    </row>
    <row r="15" spans="4:12" x14ac:dyDescent="0.2">
      <c r="D15" s="1" t="s">
        <v>12</v>
      </c>
      <c r="E15">
        <v>224</v>
      </c>
      <c r="F15">
        <v>216</v>
      </c>
      <c r="G15">
        <v>654</v>
      </c>
      <c r="H15">
        <v>0.50909090909090904</v>
      </c>
      <c r="I15">
        <v>0.49090909090909091</v>
      </c>
      <c r="J15">
        <v>556.9454545454546</v>
      </c>
      <c r="K15">
        <v>537.0545454545454</v>
      </c>
      <c r="L15" s="15">
        <v>777.8603924452002</v>
      </c>
    </row>
    <row r="16" spans="4:12" x14ac:dyDescent="0.2">
      <c r="D16" s="1" t="s">
        <v>13</v>
      </c>
      <c r="E16">
        <v>253</v>
      </c>
      <c r="F16">
        <v>207</v>
      </c>
      <c r="G16">
        <v>785</v>
      </c>
      <c r="H16">
        <v>0.55000000000000004</v>
      </c>
      <c r="I16">
        <v>0.45</v>
      </c>
      <c r="J16">
        <v>684.75</v>
      </c>
      <c r="K16">
        <v>560.25</v>
      </c>
      <c r="L16" s="15">
        <v>599.37101910828028</v>
      </c>
    </row>
    <row r="17" spans="4:12" x14ac:dyDescent="0.2">
      <c r="D17" s="1" t="s">
        <v>14</v>
      </c>
      <c r="E17">
        <v>139</v>
      </c>
      <c r="F17">
        <v>116</v>
      </c>
      <c r="G17">
        <v>652</v>
      </c>
      <c r="H17">
        <v>0.54509803921568623</v>
      </c>
      <c r="I17">
        <v>0.45490196078431372</v>
      </c>
      <c r="J17">
        <v>494.40392156862742</v>
      </c>
      <c r="K17">
        <v>412.59607843137252</v>
      </c>
      <c r="L17" s="15">
        <v>652.02891566265066</v>
      </c>
    </row>
    <row r="18" spans="4:12" x14ac:dyDescent="0.2">
      <c r="D18" s="1" t="s">
        <v>15</v>
      </c>
      <c r="E18">
        <v>287</v>
      </c>
      <c r="F18">
        <v>237</v>
      </c>
      <c r="G18">
        <v>533</v>
      </c>
      <c r="H18">
        <v>0.54770992366412219</v>
      </c>
      <c r="I18">
        <v>0.45229007633587792</v>
      </c>
      <c r="J18">
        <v>578.92938931297715</v>
      </c>
      <c r="K18">
        <v>478.07061068702291</v>
      </c>
      <c r="L18" s="15">
        <v>795.25316455696213</v>
      </c>
    </row>
    <row r="19" spans="4:12" x14ac:dyDescent="0.2">
      <c r="D19" s="1" t="s">
        <v>16</v>
      </c>
      <c r="E19">
        <v>641</v>
      </c>
      <c r="F19">
        <v>569</v>
      </c>
      <c r="G19">
        <v>15</v>
      </c>
      <c r="H19">
        <v>0.52975206611570247</v>
      </c>
      <c r="I19">
        <v>0.47024793388429748</v>
      </c>
      <c r="J19">
        <v>648.94628099173553</v>
      </c>
      <c r="K19">
        <v>576.05371900826447</v>
      </c>
      <c r="L19" s="15">
        <v>627.9697885196374</v>
      </c>
    </row>
    <row r="20" spans="4:12" x14ac:dyDescent="0.2">
      <c r="D20" s="1" t="s">
        <v>17</v>
      </c>
      <c r="E20">
        <v>502</v>
      </c>
      <c r="F20">
        <v>397</v>
      </c>
      <c r="G20">
        <v>10</v>
      </c>
      <c r="H20">
        <v>0.5583982202447163</v>
      </c>
      <c r="I20">
        <v>0.44160177975528359</v>
      </c>
      <c r="J20">
        <v>507.58398220244709</v>
      </c>
      <c r="K20">
        <v>401.41601779755291</v>
      </c>
      <c r="L20" s="15">
        <v>998.17626527050618</v>
      </c>
    </row>
    <row r="21" spans="4:12" x14ac:dyDescent="0.2">
      <c r="D21" s="1" t="s">
        <v>18</v>
      </c>
      <c r="E21">
        <v>709</v>
      </c>
      <c r="F21">
        <v>848</v>
      </c>
      <c r="G21">
        <v>10</v>
      </c>
      <c r="H21">
        <v>0.45536287732819519</v>
      </c>
      <c r="I21">
        <v>0.54463712267180475</v>
      </c>
      <c r="J21">
        <v>713.55362877328196</v>
      </c>
      <c r="K21">
        <v>853.44637122671804</v>
      </c>
    </row>
    <row r="22" spans="4:12" x14ac:dyDescent="0.2">
      <c r="D22" s="1" t="s">
        <v>19</v>
      </c>
      <c r="E22">
        <v>1084</v>
      </c>
      <c r="F22">
        <v>983</v>
      </c>
      <c r="G22">
        <v>10</v>
      </c>
      <c r="H22">
        <v>0.52443154329946784</v>
      </c>
      <c r="I22">
        <v>0.47556845670053222</v>
      </c>
      <c r="J22">
        <v>1089.2443154329951</v>
      </c>
      <c r="K22">
        <v>987.75568456700535</v>
      </c>
    </row>
    <row r="23" spans="4:12" x14ac:dyDescent="0.2">
      <c r="D23" s="1" t="s">
        <v>20</v>
      </c>
      <c r="E23">
        <v>304</v>
      </c>
      <c r="F23">
        <v>133</v>
      </c>
      <c r="G23">
        <v>1</v>
      </c>
      <c r="H23">
        <v>0.69565217391304346</v>
      </c>
      <c r="I23">
        <v>0.30434782608695649</v>
      </c>
      <c r="J23">
        <v>304.69565217391312</v>
      </c>
      <c r="K23">
        <v>133.304347826087</v>
      </c>
    </row>
    <row r="27" spans="4:12" x14ac:dyDescent="0.2">
      <c r="D27" s="1" t="s">
        <v>0</v>
      </c>
      <c r="E27" s="1" t="s">
        <v>86</v>
      </c>
    </row>
    <row r="28" spans="4:12" x14ac:dyDescent="0.2">
      <c r="D28" s="1" t="s">
        <v>88</v>
      </c>
      <c r="E28">
        <v>46.496815286624212</v>
      </c>
    </row>
    <row r="29" spans="4:12" x14ac:dyDescent="0.2">
      <c r="D29" s="1" t="s">
        <v>89</v>
      </c>
      <c r="E29">
        <v>113.2275132275132</v>
      </c>
    </row>
    <row r="30" spans="4:12" x14ac:dyDescent="0.2">
      <c r="D30" s="1" t="s">
        <v>90</v>
      </c>
      <c r="E30">
        <v>235.7408056042031</v>
      </c>
    </row>
    <row r="31" spans="4:12" x14ac:dyDescent="0.2">
      <c r="D31" s="1" t="s">
        <v>91</v>
      </c>
      <c r="E31">
        <v>339.27419354838707</v>
      </c>
    </row>
    <row r="32" spans="4:12" x14ac:dyDescent="0.2">
      <c r="D32" s="1" t="s">
        <v>92</v>
      </c>
      <c r="E32">
        <v>530.44778067885113</v>
      </c>
    </row>
    <row r="33" spans="4:5" x14ac:dyDescent="0.2">
      <c r="D33" s="1" t="s">
        <v>93</v>
      </c>
      <c r="E33">
        <v>619.05609284332695</v>
      </c>
    </row>
    <row r="34" spans="4:5" x14ac:dyDescent="0.2">
      <c r="D34" s="1" t="s">
        <v>8</v>
      </c>
      <c r="E34">
        <v>713.7734375</v>
      </c>
    </row>
    <row r="35" spans="4:5" x14ac:dyDescent="0.2">
      <c r="D35" s="1" t="s">
        <v>9</v>
      </c>
      <c r="E35">
        <v>414.27213822894169</v>
      </c>
    </row>
    <row r="36" spans="4:5" x14ac:dyDescent="0.2">
      <c r="D36" s="1" t="s">
        <v>10</v>
      </c>
      <c r="E36">
        <v>449.51351351351349</v>
      </c>
    </row>
    <row r="37" spans="4:5" x14ac:dyDescent="0.2">
      <c r="D37" s="1" t="s">
        <v>11</v>
      </c>
      <c r="E37">
        <v>606.46543778801833</v>
      </c>
    </row>
    <row r="38" spans="4:5" x14ac:dyDescent="0.2">
      <c r="D38" s="1" t="s">
        <v>12</v>
      </c>
      <c r="E38">
        <v>556.9454545454546</v>
      </c>
    </row>
    <row r="39" spans="4:5" x14ac:dyDescent="0.2">
      <c r="D39" s="1" t="s">
        <v>13</v>
      </c>
      <c r="E39">
        <v>684.75</v>
      </c>
    </row>
    <row r="40" spans="4:5" x14ac:dyDescent="0.2">
      <c r="D40" s="1" t="s">
        <v>14</v>
      </c>
      <c r="E40">
        <v>494.40392156862742</v>
      </c>
    </row>
    <row r="41" spans="4:5" x14ac:dyDescent="0.2">
      <c r="D41" s="1" t="s">
        <v>15</v>
      </c>
      <c r="E41">
        <v>578.92938931297715</v>
      </c>
    </row>
    <row r="42" spans="4:5" x14ac:dyDescent="0.2">
      <c r="D42" s="1" t="s">
        <v>16</v>
      </c>
      <c r="E42">
        <v>648.94628099173553</v>
      </c>
    </row>
    <row r="43" spans="4:5" x14ac:dyDescent="0.2">
      <c r="D43" s="1" t="s">
        <v>17</v>
      </c>
      <c r="E43">
        <v>507.58398220244709</v>
      </c>
    </row>
    <row r="44" spans="4:5" x14ac:dyDescent="0.2">
      <c r="D44" s="1" t="s">
        <v>18</v>
      </c>
      <c r="E44">
        <v>713.55362877328196</v>
      </c>
    </row>
    <row r="45" spans="4:5" x14ac:dyDescent="0.2">
      <c r="D45" s="1" t="s">
        <v>19</v>
      </c>
      <c r="E45">
        <v>1089.2443154329951</v>
      </c>
    </row>
    <row r="46" spans="4:5" x14ac:dyDescent="0.2">
      <c r="D46" s="1" t="s">
        <v>20</v>
      </c>
      <c r="E46">
        <v>304.69565217391312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Feuil3</vt:lpstr>
      <vt:lpstr>Analyse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BRICHET</cp:lastModifiedBy>
  <dcterms:created xsi:type="dcterms:W3CDTF">2025-02-18T09:45:57Z</dcterms:created>
  <dcterms:modified xsi:type="dcterms:W3CDTF">2026-04-07T14:20:51Z</dcterms:modified>
</cp:coreProperties>
</file>